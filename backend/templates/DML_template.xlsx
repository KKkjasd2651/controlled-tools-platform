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03C4A9C-68EF-4EF0-9E3B-8FFAB14E894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  <sheet name="Log" sheetId="2" r:id="rId2"/>
  </sheets>
  <definedNames>
    <definedName name="DocList">List[文档编码]</definedName>
    <definedName name="_xlnm.Print_Area" localSheetId="0">List!$A:$G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/>
  <c r="A54" i="1"/>
  <c r="E54" i="1" s="1" a="1"/>
  <c r="E54" i="1" s="1"/>
  <c r="A53" i="1"/>
  <c r="A52" i="1"/>
  <c r="A50" i="1"/>
  <c r="A49" i="1"/>
  <c r="D49" i="1" s="1" a="1"/>
  <c r="D49" i="1" s="1"/>
  <c r="A48" i="1"/>
  <c r="A47" i="1"/>
  <c r="H47" i="1" s="1"/>
  <c r="A46" i="1"/>
  <c r="A45" i="1"/>
  <c r="H45" i="1" s="1"/>
  <c r="A44" i="1"/>
  <c r="A43" i="1"/>
  <c r="E43" i="1" s="1" a="1"/>
  <c r="E43" i="1" s="1"/>
  <c r="A42" i="1"/>
  <c r="H42" i="1" s="1"/>
  <c r="A41" i="1"/>
  <c r="D41" i="1" s="1" a="1"/>
  <c r="D41" i="1" s="1"/>
  <c r="A40" i="1"/>
  <c r="A39" i="1"/>
  <c r="E39" i="1" s="1" a="1"/>
  <c r="E39" i="1" s="1"/>
  <c r="A38" i="1"/>
  <c r="D38" i="1" s="1" a="1"/>
  <c r="D38" i="1" s="1"/>
  <c r="A37" i="1"/>
  <c r="A36" i="1"/>
  <c r="A35" i="1"/>
  <c r="A34" i="1"/>
  <c r="E34" i="1" s="1" a="1"/>
  <c r="E34" i="1" s="1"/>
  <c r="A33" i="1"/>
  <c r="H33" i="1" s="1"/>
  <c r="A32" i="1"/>
  <c r="A31" i="1"/>
  <c r="A30" i="1"/>
  <c r="E30" i="1" s="1" a="1"/>
  <c r="E30" i="1" s="1"/>
  <c r="A29" i="1"/>
  <c r="D29" i="1" s="1" a="1"/>
  <c r="D29" i="1" s="1"/>
  <c r="A27" i="1"/>
  <c r="A26" i="1"/>
  <c r="A25" i="1"/>
  <c r="A24" i="1"/>
  <c r="A23" i="1"/>
  <c r="A22" i="1"/>
  <c r="D22" i="1" s="1" a="1"/>
  <c r="D22" i="1" s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7" i="1"/>
  <c r="A6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31" i="1" a="1"/>
  <c r="D31" i="1" s="1"/>
  <c r="D32" i="1" a="1"/>
  <c r="D32" i="1" s="1"/>
  <c r="D35" i="1" a="1"/>
  <c r="D35" i="1" s="1"/>
  <c r="D36" i="1" a="1"/>
  <c r="D36" i="1" s="1"/>
  <c r="D37" i="1" a="1"/>
  <c r="D37" i="1" s="1"/>
  <c r="D40" i="1" a="1"/>
  <c r="D40" i="1" s="1"/>
  <c r="D43" i="1" a="1"/>
  <c r="D43" i="1" s="1"/>
  <c r="D44" i="1" a="1"/>
  <c r="D44" i="1" s="1"/>
  <c r="D45" i="1" a="1"/>
  <c r="D45" i="1" s="1"/>
  <c r="D46" i="1" a="1"/>
  <c r="D46" i="1" s="1"/>
  <c r="D48" i="1" a="1"/>
  <c r="D48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1" i="1" a="1"/>
  <c r="E31" i="1" s="1"/>
  <c r="E32" i="1" a="1"/>
  <c r="E32" i="1" s="1"/>
  <c r="E35" i="1" a="1"/>
  <c r="E35" i="1" s="1"/>
  <c r="E36" i="1" a="1"/>
  <c r="E36" i="1" s="1"/>
  <c r="E37" i="1" a="1"/>
  <c r="E37" i="1" s="1"/>
  <c r="E38" i="1" a="1"/>
  <c r="E38" i="1" s="1"/>
  <c r="E40" i="1" a="1"/>
  <c r="E40" i="1" s="1"/>
  <c r="E41" i="1" a="1"/>
  <c r="E41" i="1" s="1"/>
  <c r="E44" i="1" a="1"/>
  <c r="E44" i="1" s="1"/>
  <c r="E45" i="1" a="1"/>
  <c r="E45" i="1" s="1"/>
  <c r="E46" i="1" a="1"/>
  <c r="E46" i="1" s="1"/>
  <c r="E48" i="1" a="1"/>
  <c r="E48" i="1" s="1"/>
  <c r="E50" i="1" a="1"/>
  <c r="E50" i="1" s="1"/>
  <c r="E51" i="1" a="1"/>
  <c r="E51" i="1" s="1"/>
  <c r="E52" i="1" a="1"/>
  <c r="E52" i="1" s="1"/>
  <c r="E53" i="1" a="1"/>
  <c r="E53" i="1" s="1"/>
  <c r="E55" i="1" a="1"/>
  <c r="E55" i="1" s="1"/>
  <c r="H22" i="1"/>
  <c r="H23" i="1"/>
  <c r="H24" i="1"/>
  <c r="H25" i="1"/>
  <c r="H26" i="1"/>
  <c r="H27" i="1"/>
  <c r="H28" i="1"/>
  <c r="H29" i="1"/>
  <c r="H31" i="1"/>
  <c r="H32" i="1"/>
  <c r="H35" i="1"/>
  <c r="H36" i="1"/>
  <c r="H37" i="1"/>
  <c r="H38" i="1"/>
  <c r="H39" i="1"/>
  <c r="H40" i="1"/>
  <c r="H41" i="1"/>
  <c r="H43" i="1"/>
  <c r="H44" i="1"/>
  <c r="H46" i="1"/>
  <c r="H48" i="1"/>
  <c r="H50" i="1"/>
  <c r="H51" i="1"/>
  <c r="H52" i="1"/>
  <c r="H53" i="1"/>
  <c r="H54" i="1"/>
  <c r="H55" i="1"/>
  <c r="D5" i="1" a="1"/>
  <c r="D5" i="1" s="1"/>
  <c r="D8" i="1" a="1"/>
  <c r="D8" i="1" s="1"/>
  <c r="H1" i="1"/>
  <c r="H5" i="1" s="1"/>
  <c r="E5" i="1" a="1"/>
  <c r="E5" i="1" s="1"/>
  <c r="E8" i="1" a="1"/>
  <c r="E8" i="1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A15" i="2"/>
  <c r="A16" i="2"/>
  <c r="A17" i="2"/>
  <c r="A18" i="2"/>
  <c r="A19" i="2"/>
  <c r="A20" i="2"/>
  <c r="A21" i="2"/>
  <c r="A22" i="2"/>
  <c r="A23" i="2"/>
  <c r="A24" i="2"/>
  <c r="A25" i="2"/>
  <c r="B15" i="2"/>
  <c r="B16" i="2"/>
  <c r="B17" i="2"/>
  <c r="B18" i="2"/>
  <c r="B19" i="2"/>
  <c r="B20" i="2"/>
  <c r="B21" i="2"/>
  <c r="B22" i="2"/>
  <c r="B23" i="2"/>
  <c r="B24" i="2"/>
  <c r="B25" i="2"/>
  <c r="I15" i="2"/>
  <c r="I16" i="2"/>
  <c r="I17" i="2"/>
  <c r="I18" i="2"/>
  <c r="I19" i="2"/>
  <c r="I20" i="2"/>
  <c r="I21" i="2"/>
  <c r="I22" i="2"/>
  <c r="I23" i="2"/>
  <c r="I24" i="2"/>
  <c r="I25" i="2"/>
  <c r="A14" i="2"/>
  <c r="B14" i="2"/>
  <c r="I14" i="2"/>
  <c r="E49" i="1" l="1" a="1"/>
  <c r="E49" i="1" s="1"/>
  <c r="H49" i="1"/>
  <c r="D47" i="1" a="1"/>
  <c r="D47" i="1" s="1"/>
  <c r="E47" i="1" a="1"/>
  <c r="E47" i="1" s="1"/>
  <c r="D42" i="1" a="1"/>
  <c r="D42" i="1" s="1"/>
  <c r="E42" i="1" a="1"/>
  <c r="E42" i="1" s="1"/>
  <c r="D39" i="1" a="1"/>
  <c r="D39" i="1" s="1"/>
  <c r="H34" i="1"/>
  <c r="D34" i="1" a="1"/>
  <c r="D34" i="1" s="1"/>
  <c r="E33" i="1" a="1"/>
  <c r="E33" i="1" s="1"/>
  <c r="D33" i="1" a="1"/>
  <c r="D33" i="1" s="1"/>
  <c r="H30" i="1"/>
  <c r="D30" i="1" a="1"/>
  <c r="D30" i="1" s="1"/>
  <c r="F19" i="2"/>
  <c r="G19" i="2" s="1"/>
  <c r="F25" i="2"/>
  <c r="G25" i="2" s="1"/>
  <c r="F15" i="2"/>
  <c r="G15" i="2" s="1"/>
  <c r="F17" i="2"/>
  <c r="G17" i="2" s="1"/>
  <c r="D6" i="1" a="1"/>
  <c r="D6" i="1" s="1"/>
  <c r="F23" i="2"/>
  <c r="G23" i="2" s="1"/>
  <c r="E6" i="1" a="1"/>
  <c r="E6" i="1" s="1"/>
  <c r="F16" i="2"/>
  <c r="G16" i="2" s="1"/>
  <c r="F14" i="2"/>
  <c r="G14" i="2" s="1"/>
  <c r="F18" i="2"/>
  <c r="G18" i="2" s="1"/>
  <c r="F21" i="2"/>
  <c r="G21" i="2" s="1"/>
  <c r="F22" i="2"/>
  <c r="G22" i="2" s="1"/>
  <c r="F24" i="2"/>
  <c r="G24" i="2" s="1"/>
  <c r="F20" i="2"/>
  <c r="G20" i="2" s="1"/>
  <c r="E7" i="1" a="1"/>
  <c r="E7" i="1" s="1"/>
  <c r="D7" i="1" a="1"/>
  <c r="D7" i="1" s="1"/>
  <c r="E9" i="1" a="1"/>
  <c r="E9" i="1" s="1"/>
  <c r="D9" i="1" a="1"/>
  <c r="D9" i="1" s="1"/>
  <c r="D10" i="1" a="1"/>
  <c r="D10" i="1" s="1"/>
  <c r="H10" i="1"/>
  <c r="E10" i="1" a="1"/>
  <c r="E10" i="1" s="1"/>
  <c r="E15" i="1" a="1"/>
  <c r="E15" i="1" s="1"/>
  <c r="D15" i="1" a="1"/>
  <c r="D15" i="1" s="1"/>
  <c r="H15" i="1"/>
  <c r="H17" i="1"/>
  <c r="D17" i="1" a="1"/>
  <c r="D17" i="1" s="1"/>
  <c r="E17" i="1" a="1"/>
  <c r="E17" i="1" s="1"/>
  <c r="E18" i="1" a="1"/>
  <c r="E18" i="1" s="1"/>
  <c r="H18" i="1"/>
  <c r="D18" i="1" a="1"/>
  <c r="D18" i="1" s="1"/>
  <c r="E19" i="1" a="1"/>
  <c r="E19" i="1" s="1"/>
  <c r="H19" i="1"/>
  <c r="D19" i="1" a="1"/>
  <c r="D19" i="1" s="1"/>
  <c r="D20" i="1" a="1"/>
  <c r="D20" i="1" s="1"/>
  <c r="E20" i="1" a="1"/>
  <c r="E20" i="1" s="1"/>
  <c r="H20" i="1"/>
  <c r="H11" i="1"/>
  <c r="E11" i="1" a="1"/>
  <c r="E11" i="1" s="1"/>
  <c r="D11" i="1" a="1"/>
  <c r="D11" i="1" s="1"/>
  <c r="D12" i="1" a="1"/>
  <c r="D12" i="1" s="1"/>
  <c r="E12" i="1" a="1"/>
  <c r="E12" i="1" s="1"/>
  <c r="H12" i="1"/>
  <c r="E13" i="1" a="1"/>
  <c r="E13" i="1" s="1"/>
  <c r="D13" i="1" a="1"/>
  <c r="D13" i="1" s="1"/>
  <c r="H13" i="1"/>
  <c r="H14" i="1"/>
  <c r="D14" i="1" a="1"/>
  <c r="D14" i="1" s="1"/>
  <c r="E14" i="1" a="1"/>
  <c r="E14" i="1" s="1"/>
  <c r="D16" i="1" a="1"/>
  <c r="D16" i="1" s="1"/>
  <c r="H16" i="1"/>
  <c r="E16" i="1" a="1"/>
  <c r="E16" i="1" s="1"/>
  <c r="H21" i="1"/>
  <c r="E21" i="1" a="1"/>
  <c r="E21" i="1" s="1"/>
  <c r="D21" i="1" a="1"/>
  <c r="D21" i="1" s="1"/>
  <c r="H2" i="1"/>
  <c r="A13" i="2"/>
  <c r="B13" i="2"/>
  <c r="F13" i="2"/>
  <c r="G13" i="2" s="1"/>
  <c r="I13" i="2"/>
  <c r="A12" i="2"/>
  <c r="B12" i="2"/>
  <c r="F12" i="2"/>
  <c r="G12" i="2" s="1"/>
  <c r="I12" i="2"/>
  <c r="A11" i="2"/>
  <c r="B11" i="2"/>
  <c r="F11" i="2"/>
  <c r="G11" i="2" s="1"/>
  <c r="I11" i="2"/>
  <c r="F2" i="1" l="1"/>
  <c r="D2" i="1"/>
  <c r="A10" i="2"/>
  <c r="B10" i="2"/>
  <c r="F10" i="2"/>
  <c r="G10" i="2" s="1"/>
  <c r="I10" i="2"/>
  <c r="A9" i="2"/>
  <c r="B9" i="2"/>
  <c r="F9" i="2"/>
  <c r="G9" i="2" s="1"/>
  <c r="I9" i="2"/>
  <c r="I2" i="2" l="1"/>
  <c r="I3" i="2"/>
  <c r="I4" i="2"/>
  <c r="I5" i="2"/>
  <c r="I6" i="2"/>
  <c r="I7" i="2"/>
  <c r="I8" i="2"/>
  <c r="H2" i="2"/>
  <c r="D1" i="1"/>
  <c r="H9" i="1" l="1"/>
  <c r="H8" i="1"/>
  <c r="H7" i="1"/>
  <c r="H6" i="1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B2" i="2"/>
  <c r="B3" i="2"/>
  <c r="B4" i="2"/>
  <c r="B5" i="2"/>
  <c r="B6" i="2"/>
  <c r="B7" i="2"/>
  <c r="B8" i="2"/>
  <c r="A2" i="2"/>
  <c r="A3" i="2"/>
  <c r="A4" i="2"/>
  <c r="A5" i="2"/>
  <c r="A6" i="2"/>
  <c r="A7" i="2"/>
  <c r="A8" i="2"/>
  <c r="C54" i="1" l="1"/>
  <c r="C46" i="1"/>
  <c r="C53" i="1"/>
  <c r="C22" i="1"/>
  <c r="C21" i="1"/>
  <c r="C15" i="1"/>
  <c r="C32" i="1"/>
  <c r="C51" i="1"/>
  <c r="C40" i="1"/>
  <c r="C11" i="1"/>
  <c r="C29" i="1"/>
  <c r="C31" i="1"/>
  <c r="C55" i="1"/>
  <c r="C20" i="1"/>
  <c r="C30" i="1"/>
  <c r="C14" i="1"/>
  <c r="C36" i="1"/>
  <c r="C18" i="1"/>
  <c r="C35" i="1"/>
  <c r="C44" i="1"/>
  <c r="C38" i="1"/>
  <c r="C27" i="1"/>
  <c r="C16" i="1"/>
  <c r="C42" i="1"/>
  <c r="C52" i="1"/>
  <c r="C41" i="1"/>
  <c r="C49" i="1"/>
  <c r="C45" i="1"/>
  <c r="C19" i="1"/>
  <c r="C34" i="1"/>
  <c r="C17" i="1"/>
  <c r="C10" i="1"/>
  <c r="C33" i="1"/>
  <c r="C50" i="1"/>
  <c r="C43" i="1"/>
  <c r="C23" i="1"/>
  <c r="C24" i="1"/>
  <c r="C39" i="1"/>
  <c r="C48" i="1"/>
  <c r="C13" i="1"/>
  <c r="C28" i="1"/>
  <c r="C47" i="1"/>
  <c r="C37" i="1"/>
  <c r="C26" i="1"/>
  <c r="C12" i="1"/>
  <c r="C25" i="1"/>
  <c r="C6" i="1"/>
  <c r="C9" i="1"/>
  <c r="C8" i="1"/>
  <c r="C7" i="1"/>
  <c r="C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<sst xmlns="http://schemas.openxmlformats.org/spreadsheetml/2006/main" count="115" uniqueCount="107">
  <si>
    <t>文档编码</t>
    <phoneticPr fontId="1" type="noConversion"/>
  </si>
  <si>
    <t>文档标题</t>
    <phoneticPr fontId="1" type="noConversion"/>
  </si>
  <si>
    <t>版本</t>
    <phoneticPr fontId="1" type="noConversion"/>
  </si>
  <si>
    <t>链接</t>
    <phoneticPr fontId="1" type="noConversion"/>
  </si>
  <si>
    <t>备注</t>
    <phoneticPr fontId="1" type="noConversion"/>
  </si>
  <si>
    <t>日期</t>
    <phoneticPr fontId="1" type="noConversion"/>
  </si>
  <si>
    <t>C1</t>
    <phoneticPr fontId="1" type="noConversion"/>
  </si>
  <si>
    <t>C2</t>
    <phoneticPr fontId="1" type="noConversion"/>
  </si>
  <si>
    <t>作者</t>
    <phoneticPr fontId="1" type="noConversion"/>
  </si>
  <si>
    <t>日志目录</t>
    <phoneticPr fontId="1" type="noConversion"/>
  </si>
  <si>
    <t>文件目录</t>
    <phoneticPr fontId="1" type="noConversion"/>
  </si>
  <si>
    <t>已受控数</t>
    <phoneticPr fontId="1" type="noConversion"/>
  </si>
  <si>
    <t>首版受控</t>
    <phoneticPr fontId="1" type="noConversion"/>
  </si>
  <si>
    <t>末版受控</t>
    <phoneticPr fontId="1" type="noConversion"/>
  </si>
  <si>
    <t>创建文件夹</t>
    <phoneticPr fontId="1" type="noConversion"/>
  </si>
  <si>
    <t>复制文件</t>
    <phoneticPr fontId="1" type="noConversion"/>
  </si>
  <si>
    <t>MKT</t>
    <phoneticPr fontId="1" type="noConversion"/>
  </si>
  <si>
    <t>PUR</t>
    <phoneticPr fontId="1" type="noConversion"/>
  </si>
  <si>
    <t>PDE</t>
    <phoneticPr fontId="1" type="noConversion"/>
  </si>
  <si>
    <t>TQM</t>
    <phoneticPr fontId="1" type="noConversion"/>
  </si>
  <si>
    <t>文件总数</t>
    <phoneticPr fontId="1" type="noConversion"/>
  </si>
  <si>
    <t>工令号</t>
    <phoneticPr fontId="1" type="noConversion"/>
  </si>
  <si>
    <t>最近更新</t>
    <phoneticPr fontId="1" type="noConversion"/>
  </si>
  <si>
    <t>分发</t>
    <phoneticPr fontId="1" type="noConversion"/>
  </si>
  <si>
    <t>PMD</t>
    <phoneticPr fontId="1" type="noConversion"/>
  </si>
  <si>
    <t>Technical Document Master List
技术文件清单</t>
    <phoneticPr fontId="1" type="noConversion"/>
  </si>
  <si>
    <t>24001A</t>
    <phoneticPr fontId="1" type="noConversion"/>
  </si>
  <si>
    <t>基础设计</t>
  </si>
  <si>
    <t>技术规格书</t>
  </si>
  <si>
    <t>产品总图</t>
  </si>
  <si>
    <t>箱体生产设计</t>
  </si>
  <si>
    <t>结构强度计算书</t>
  </si>
  <si>
    <t>结构总图</t>
  </si>
  <si>
    <t>结构标贴图</t>
  </si>
  <si>
    <t>箱体 - 总图</t>
  </si>
  <si>
    <t>箱体 - 顶面装配图</t>
  </si>
  <si>
    <t>箱体 - 底架装配图</t>
  </si>
  <si>
    <t>箱体 - 左侧装配图</t>
  </si>
  <si>
    <t>箱体 - 右侧装配图</t>
  </si>
  <si>
    <t>箱体 - 前端装配图</t>
  </si>
  <si>
    <t>箱体 - 后端装配图</t>
  </si>
  <si>
    <t>箱体 - 隔墙装配图</t>
  </si>
  <si>
    <t>箱体 - 预埋布局图</t>
  </si>
  <si>
    <t>箱体 - 其他布局图</t>
  </si>
  <si>
    <t>门窗 XX - 装配图</t>
  </si>
  <si>
    <t>围护 XX - 装配图</t>
  </si>
  <si>
    <t>吊具 XX - 装配图</t>
  </si>
  <si>
    <t>其他配件 XX</t>
  </si>
  <si>
    <t>结构 BOM</t>
  </si>
  <si>
    <t>结构套料表</t>
  </si>
  <si>
    <t>集成生产设计</t>
  </si>
  <si>
    <t>集成总图</t>
  </si>
  <si>
    <t>保温 / 内饰面布局图</t>
  </si>
  <si>
    <t>设备 / 家具布局图</t>
  </si>
  <si>
    <t>门窗布局图</t>
  </si>
  <si>
    <t>集成标贴图</t>
  </si>
  <si>
    <t>集成 BOM</t>
  </si>
  <si>
    <t>强电原理图</t>
  </si>
  <si>
    <t>弱电原理图</t>
  </si>
  <si>
    <t>强电布局图</t>
  </si>
  <si>
    <t>弱电布局图</t>
  </si>
  <si>
    <t>桥架 / 线槽 / 线管布局图</t>
  </si>
  <si>
    <t>电气标贴图</t>
  </si>
  <si>
    <t>电柜内部布置图</t>
  </si>
  <si>
    <t>电气 BOM</t>
  </si>
  <si>
    <t>电缆清册</t>
  </si>
  <si>
    <t>消防布局图</t>
  </si>
  <si>
    <t>消防 BOM</t>
  </si>
  <si>
    <t>暖通计算表</t>
  </si>
  <si>
    <t>暖通 BOM</t>
  </si>
  <si>
    <t>暖通布局图</t>
  </si>
  <si>
    <t>给排水 BOM</t>
  </si>
  <si>
    <t>给排水布局图</t>
  </si>
  <si>
    <t>完工文档</t>
  </si>
  <si>
    <t>用户手册</t>
  </si>
  <si>
    <t>备品备件清单</t>
  </si>
  <si>
    <t>现场安装说明</t>
  </si>
  <si>
    <t>证书</t>
  </si>
  <si>
    <t>商务阶段发放</t>
  </si>
  <si>
    <t>参考标准, 各专业的施工工艺, 工作界面, 设备清单</t>
  </si>
  <si>
    <t>包含尺寸 / 主要设备布置 / 开口等信息, 用于商务确认.</t>
  </si>
  <si>
    <t>含工令下所有结构件组装信息。如果工令只有箱体的话，该图相当于箱体总图</t>
  </si>
  <si>
    <t>箱体总图</t>
  </si>
  <si>
    <t>顶部框架 / 顶横梁分布 / 开孔 / 吊点</t>
  </si>
  <si>
    <t>底架框架 / 底横梁分布 / 开孔 / 吊点/ 抬高底座</t>
  </si>
  <si>
    <t>侧面开孔尺寸 / 位置</t>
  </si>
  <si>
    <t>短边，取人员工作入口为前端</t>
  </si>
  <si>
    <t>短边，取进货口 / 设备间操作端为后端</t>
  </si>
  <si>
    <t>顶 / 墙 / 底预埋位置及尺寸</t>
  </si>
  <si>
    <t>门窗装配图, XX 为编号, 默认从 01 递增（箱体工序安装）</t>
  </si>
  <si>
    <t>围护装配图, XX 为编号, 默认从 01 递增</t>
  </si>
  <si>
    <t>吊具装配图, XX 为编号, 默认从 01 递增</t>
  </si>
  <si>
    <t>其他配件 / 钣金图纸, 文件标题更换为配件名</t>
  </si>
  <si>
    <t>箱体 &amp; 集成完成后的总图. 在产品总图上细化</t>
  </si>
  <si>
    <t>保温层 / 内饰面 / 吊顶 / 抬高地板布局及安装工艺</t>
  </si>
  <si>
    <t>设备 / 家具安装的布局及安装工艺</t>
  </si>
  <si>
    <t>门窗位置及安装工艺（集成工序安装）</t>
  </si>
  <si>
    <t>设备标贴 / 门窗开关标识等</t>
  </si>
  <si>
    <t>强电柜 / 照明 / 插座 / 开关等布局图</t>
  </si>
  <si>
    <t>弱电柜 / 网口 / 门禁 / 探头 / 摄像头等布局图</t>
  </si>
  <si>
    <t>电缆标签 / 照明 / 插座等</t>
  </si>
  <si>
    <t>电柜内布局, XX 为电柜编号, 默认从 01 递增</t>
  </si>
  <si>
    <t>电缆规格 / 起止点 / 路由 / 数量</t>
  </si>
  <si>
    <t>消防终端 / 控制柜 / 水气管布局</t>
  </si>
  <si>
    <t>热负荷计算</t>
  </si>
  <si>
    <t>设备 / 风道 / 风阀 / 制冷管布局及安装工艺</t>
  </si>
  <si>
    <t>完整文件名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</si>
</sst>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m/dd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76" fontId="0" fillId="0" borderId="0" xfId="0" applyNumberFormat="1"/>
    <xf numFmtId="49" fontId="0" fillId="0" borderId="0" xfId="0" applyNumberFormat="1"/>
    <xf numFmtId="177" fontId="0" fillId="0" borderId="0" xfId="0" applyNumberFormat="1"/>
    <xf numFmtId="0" fontId="2" fillId="0" borderId="0" xfId="1"/>
    <xf numFmtId="176" fontId="0" fillId="2" borderId="0" xfId="0" applyNumberFormat="1" applyFill="1"/>
    <xf numFmtId="0" fontId="0" fillId="2" borderId="0" xfId="0" applyFill="1"/>
    <xf numFmtId="176" fontId="3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2" fillId="0" borderId="0" xfId="1" applyNumberFormat="1"/>
    <xf numFmtId="0" fontId="0" fillId="3" borderId="0" xfId="0" applyFill="1"/>
    <xf numFmtId="176" fontId="2" fillId="0" borderId="1" xfId="1" applyNumberFormat="1" applyBorder="1"/>
    <xf numFmtId="0" fontId="0" fillId="2" borderId="0" xfId="0" applyNumberFormat="1" applyFill="1"/>
    <xf numFmtId="14" fontId="0" fillId="0" borderId="1" xfId="0" applyNumberFormat="1" applyBorder="1" applyAlignment="1">
      <alignment horizontal="left"/>
    </xf>
    <xf numFmtId="49" fontId="3" fillId="5" borderId="0" xfId="0" applyNumberFormat="1" applyFont="1" applyFill="1"/>
    <xf numFmtId="0" fontId="3" fillId="5" borderId="0" xfId="0" applyNumberFormat="1" applyFont="1" applyFill="1"/>
    <xf numFmtId="176" fontId="3" fillId="5" borderId="0" xfId="0" applyNumberFormat="1" applyFont="1" applyFill="1"/>
    <xf numFmtId="0" fontId="5" fillId="5" borderId="0" xfId="1" applyNumberFormat="1" applyFont="1" applyFill="1"/>
    <xf numFmtId="0" fontId="3" fillId="5" borderId="0" xfId="0" applyFont="1" applyFill="1"/>
    <xf numFmtId="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30" formatCode="@"/>
    </dxf>
    <dxf>
      <numFmt numFmtId="177" formatCode="yyyy/mm/dd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176" formatCode="yyyy/mm/dd;@"/>
      <fill>
        <patternFill patternType="solid">
          <fgColor indexed="64"/>
          <bgColor theme="0" tint="-4.9989318521683403E-2"/>
        </patternFill>
      </fill>
    </dxf>
    <dxf>
      <numFmt numFmtId="176" formatCode="yyyy/mm/dd;@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30" formatCode="@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1152525</xdr:colOff>
      <xdr:row>1</xdr:row>
      <xdr:rowOff>175892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966A087-2435-D14F-83F0-3D05A9D4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2525" cy="3568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A4:M55" totalsRowShown="0">
  <autoFilter ref="A4:M55" xr:uid="{00000000-0009-0000-0100-000001000000}"/>
  <tableColumns count="13">
    <tableColumn id="1" xr3:uid="{00000000-0010-0000-0000-000001000000}" name="文档编码" dataDxfId="18"/>
    <tableColumn id="2" xr3:uid="{00000000-0010-0000-0000-000002000000}" name="文档标题" dataDxfId="17"/>
    <tableColumn id="3" xr3:uid="{00000000-0010-0000-0000-000003000000}" name="版本" dataDxfId="16">
      <calculatedColumnFormula>IFERROR(VLOOKUP(List[[#This Row],[末版受控]]&amp;List[[#This Row],[文档编码]],Log[],MATCH(Log[[#Headers],[版本]],Log[#Headers],0),0),"")</calculatedColumnFormula>
    </tableColumn>
    <tableColumn id="4" xr3:uid="{00000000-0010-0000-0000-000004000000}" name="首版受控" dataDxfId="15">
      <calculatedColumnFormula array="1">IF(IFERROR(MATCH(List[[#This Row],[文档编码]],Log[文档编码],0),0),MIN(IF(Log[文档编码]=List[[#This Row],[文档编码]],Log[日期])),"")</calculatedColumnFormula>
    </tableColumn>
    <tableColumn id="5" xr3:uid="{00000000-0010-0000-0000-000005000000}" name="末版受控" dataDxfId="14">
      <calculatedColumnFormula array="1">IF(IFERROR(MATCH(List[[#This Row],[文档编码]],Log[文档编码],0),FALSE),MAX(IF(Log[文档编码]=List[[#This Row],[文档编码]],Log[日期])),"")</calculatedColumnFormula>
    </tableColumn>
    <tableColumn id="9" xr3:uid="{00000000-0010-0000-0000-000009000000}" name="作者" dataDxfId="13"/>
    <tableColumn id="8" xr3:uid="{00000000-0010-0000-0000-000008000000}" name="备注" dataDxfId="12"/>
    <tableColumn id="10" xr3:uid="{00000000-0010-0000-0000-00000A000000}" name="链接" dataDxfId="11">
      <calculatedColumnFormula>HYPERLINK($H$1&amp;List[[#This Row],[文档编码]])</calculatedColumnFormula>
    </tableColumn>
    <tableColumn id="6" xr3:uid="{00000000-0010-0000-0000-000006000000}" name="MKT"/>
    <tableColumn id="7" xr3:uid="{00000000-0010-0000-0000-000007000000}" name="PUR"/>
    <tableColumn id="11" xr3:uid="{00000000-0010-0000-0000-00000B000000}" name="PDE"/>
    <tableColumn id="12" xr3:uid="{00000000-0010-0000-0000-00000C000000}" name="PMD"/>
    <tableColumn id="13" xr3:uid="{00000000-0010-0000-0000-00000D000000}" name="TQM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g" displayName="Log" ref="A1:J25" totalsRowShown="0">
  <autoFilter ref="A1:J25" xr:uid="{00000000-0009-0000-0100-000002000000}"/>
  <sortState ref="A2:J8">
    <sortCondition ref="C1:C8"/>
  </sortState>
  <tableColumns count="10">
    <tableColumn id="6" xr3:uid="{00000000-0010-0000-0100-000006000000}" name="C1" dataDxfId="8">
      <calculatedColumnFormula>Log[[#This Row],[日期]]&amp;Log[[#This Row],[文档编码]]</calculatedColumnFormula>
    </tableColumn>
    <tableColumn id="8" xr3:uid="{00000000-0010-0000-0100-000008000000}" name="C2" dataDxfId="7">
      <calculatedColumnFormula>Log[[#This Row],[文档编码]]&amp;Log[[#This Row],[版本]]</calculatedColumnFormula>
    </tableColumn>
    <tableColumn id="1" xr3:uid="{00000000-0010-0000-0100-000001000000}" name="日期" dataDxfId="6"/>
    <tableColumn id="2" xr3:uid="{00000000-0010-0000-0100-000002000000}" name="文档编码"/>
    <tableColumn id="4" xr3:uid="{00000000-0010-0000-0100-000004000000}" name="版本" dataDxfId="5"/>
    <tableColumn id="3" xr3:uid="{00000000-0010-0000-0100-000003000000}" name="文档标题" dataDxfId="4">
      <calculatedColumnFormula>IFERROR(VLOOKUP(Log[[#This Row],[文档编码]],List[],2,0),"")</calculatedColumnFormula>
    </tableColumn>
    <tableColumn id="7" xr3:uid="{9DA9E13A-7FF6-4F03-9D74-825223CFA0D1}" name="完整文件名" dataDxfId="3">
      <calculatedColumnFormula>Log[[#This Row],[文档编码]]&amp;"_"&amp;Log[[#This Row],[版本]]&amp;" "&amp;Log[[#This Row],[文档标题]]</calculatedColumnFormula>
    </tableColumn>
    <tableColumn id="5" xr3:uid="{00000000-0010-0000-0100-000005000000}" name="链接" dataDxfId="2">
      <calculatedColumnFormula>HYPERLINK(List!$H$2&amp;TEXT(Log[[#This Row],[日期]],"YYYYMMDD")&amp;" "&amp;".zip")</calculatedColumnFormula>
    </tableColumn>
    <tableColumn id="11" xr3:uid="{00000000-0010-0000-0100-00000B000000}" name="创建文件夹" dataDxfId="1">
      <calculatedColumnFormula>"md "&amp;Log[[#This Row],[文档编码]]&amp;"\"&amp;Log[[#This Row],[版本]]</calculatedColumnFormula>
    </tableColumn>
    <tableColumn id="10" xr3:uid="{00000000-0010-0000-0100-00000A000000}" name="复制文件" dataDxfId="0">
      <calculatedColumnFormula>"move *"&amp;Log[[#This Row],[文档编码]]&amp;"* "&amp;Log[[#This Row],[文档编码]]&amp;"\"&amp;Log[[#This Row],[版本]]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90" zoomScaleNormal="90" workbookViewId="0">
      <pane xSplit="2" ySplit="4" topLeftCell="C5" activePane="bottomRight" state="frozen"/>
      <selection activeCell="F31" sqref="F31"/>
      <selection pane="topRight" activeCell="F31" sqref="F31"/>
      <selection pane="bottomLeft" activeCell="F31" sqref="F31"/>
      <selection pane="bottomRight" activeCell="D34" sqref="D34"/>
    </sheetView>
  </sheetViews>
  <sheetFormatPr defaultRowHeight="13.8" x14ac:dyDescent="0.25"/>
  <cols>
    <col min="1" max="1" width="21.21875" bestFit="1" customWidth="1"/>
    <col min="2" max="2" width="44.109375" customWidth="1"/>
    <col min="4" max="5" width="11.6640625" bestFit="1" customWidth="1"/>
    <col min="6" max="6" width="11.109375" style="1" customWidth="1"/>
    <col min="7" max="7" width="45.21875" customWidth="1"/>
    <col min="8" max="8" width="22.44140625" bestFit="1" customWidth="1"/>
    <col min="9" max="14" width="5.21875" customWidth="1"/>
  </cols>
  <sheetData>
    <row r="1" spans="1:13" x14ac:dyDescent="0.25">
      <c r="A1" s="23"/>
      <c r="B1" s="21" t="s">
        <v>25</v>
      </c>
      <c r="C1" s="9" t="s">
        <v>20</v>
      </c>
      <c r="D1" s="8">
        <f>COUNTA(List[文档编码])</f>
        <v>47</v>
      </c>
      <c r="E1" s="9" t="s">
        <v>21</v>
      </c>
      <c r="F1" s="8" t="s">
        <v>26</v>
      </c>
      <c r="G1" s="7" t="s">
        <v>10</v>
      </c>
      <c r="H1" s="12" t="str">
        <f>HYPERLINK(".",".\")</f>
        <v>.\</v>
      </c>
    </row>
    <row r="2" spans="1:13" x14ac:dyDescent="0.25">
      <c r="A2" s="23"/>
      <c r="B2" s="22"/>
      <c r="C2" s="9" t="s">
        <v>11</v>
      </c>
      <c r="D2" s="8">
        <f>COUNT(List[首版受控])</f>
        <v>0</v>
      </c>
      <c r="E2" s="9" t="s">
        <v>22</v>
      </c>
      <c r="F2" s="14">
        <f>MAX(List[末版受控])</f>
        <v>0</v>
      </c>
      <c r="G2" s="7" t="s">
        <v>9</v>
      </c>
      <c r="H2" s="12" t="str">
        <f>HYPERLINK(H1&amp;"!log\")</f>
        <v>.\!log\</v>
      </c>
    </row>
    <row r="3" spans="1:13" x14ac:dyDescent="0.25">
      <c r="I3" s="24" t="s">
        <v>23</v>
      </c>
      <c r="J3" s="24"/>
      <c r="K3" s="24"/>
      <c r="L3" s="24"/>
      <c r="M3" s="24"/>
    </row>
    <row r="4" spans="1:13" x14ac:dyDescent="0.25">
      <c r="A4" t="s">
        <v>0</v>
      </c>
      <c r="B4" t="s">
        <v>1</v>
      </c>
      <c r="C4" t="s">
        <v>2</v>
      </c>
      <c r="D4" s="1" t="s">
        <v>12</v>
      </c>
      <c r="E4" s="1" t="s">
        <v>13</v>
      </c>
      <c r="F4" t="s">
        <v>8</v>
      </c>
      <c r="G4" t="s">
        <v>4</v>
      </c>
      <c r="H4" t="s">
        <v>3</v>
      </c>
      <c r="I4" t="s">
        <v>16</v>
      </c>
      <c r="J4" t="s">
        <v>17</v>
      </c>
      <c r="K4" t="s">
        <v>18</v>
      </c>
      <c r="L4" t="s">
        <v>24</v>
      </c>
      <c r="M4" t="s">
        <v>19</v>
      </c>
    </row>
    <row r="5" spans="1:13" x14ac:dyDescent="0.25">
      <c r="A5" s="16"/>
      <c r="B5" s="15" t="s">
        <v>27</v>
      </c>
      <c r="C5" s="19">
        <f>IFERROR(VLOOKUP(List[[#This Row],[末版受控]]&amp;List[[#This Row],[文档编码]],Log[],MATCH(Log[[#Headers],[版本]],Log[#Headers],0),0),"")</f>
        <v>0</v>
      </c>
      <c r="D5" s="17" t="str" cm="1">
        <f t="array" ref="D5">IF(IFERROR(MATCH(List[[#This Row],[文档编码]],Log[文档编码],0),0),MIN(IF(Log[文档编码]=List[[#This Row],[文档编码]],Log[日期])),"")</f>
        <v/>
      </c>
      <c r="E5" s="17" t="str" cm="1">
        <f t="array" ref="E5">IF(IFERROR(MATCH(List[[#This Row],[文档编码]],Log[文档编码],0),FALSE),MAX(IF(Log[文档编码]=List[[#This Row],[文档编码]],Log[日期])),"")</f>
        <v/>
      </c>
      <c r="F5" s="15"/>
      <c r="G5" s="15" t="s">
        <v>78</v>
      </c>
      <c r="H5" s="18" t="str">
        <f>HYPERLINK($H$1&amp;List[[#This Row],[文档编码]])</f>
        <v>.\</v>
      </c>
      <c r="I5" s="19"/>
      <c r="J5" s="19"/>
      <c r="K5" s="19"/>
      <c r="L5" s="19"/>
      <c r="M5" s="19"/>
    </row>
    <row r="6" spans="1:13" x14ac:dyDescent="0.25">
      <c r="A6" s="20" t="str">
        <f>$F$1&amp;"-TE-SP-0001"</f>
        <v>24001A-TE-SP-0001</v>
      </c>
      <c r="B6" s="2" t="s">
        <v>28</v>
      </c>
      <c r="C6" s="6" t="str">
        <f>IFERROR(VLOOKUP(List[[#This Row],[末版受控]]&amp;List[[#This Row],[文档编码]],Log[],MATCH(Log[[#Headers],[版本]],Log[#Headers],0),0),"")</f>
        <v/>
      </c>
      <c r="D6" s="5" t="str" cm="1">
        <f t="array" ref="D6">IF(IFERROR(MATCH(List[[#This Row],[文档编码]],Log[文档编码],0),0),MIN(IF(Log[文档编码]=List[[#This Row],[文档编码]],Log[日期])),"")</f>
        <v/>
      </c>
      <c r="E6" s="5" t="str" cm="1">
        <f t="array" ref="E6">IF(IFERROR(MATCH(List[[#This Row],[文档编码]],Log[文档编码],0),FALSE),MAX(IF(Log[文档编码]=List[[#This Row],[文档编码]],Log[日期])),"")</f>
        <v/>
      </c>
      <c r="F6" s="2"/>
      <c r="G6" s="2" t="s">
        <v>79</v>
      </c>
      <c r="H6" s="10" t="str">
        <f>HYPERLINK($H$1&amp;List[[#This Row],[文档编码]])</f>
        <v>.\24001A-TE-SP-0001</v>
      </c>
    </row>
    <row r="7" spans="1:13" x14ac:dyDescent="0.25">
      <c r="A7" s="20" t="str">
        <f>$F$1&amp;"-TE-DW-0001"</f>
        <v>24001A-TE-DW-0001</v>
      </c>
      <c r="B7" s="2" t="s">
        <v>29</v>
      </c>
      <c r="C7" s="6" t="str">
        <f>IFERROR(VLOOKUP(List[[#This Row],[末版受控]]&amp;List[[#This Row],[文档编码]],Log[],MATCH(Log[[#Headers],[版本]],Log[#Headers],0),0),"")</f>
        <v/>
      </c>
      <c r="D7" s="5" t="str" cm="1">
        <f t="array" ref="D7">IF(IFERROR(MATCH(List[[#This Row],[文档编码]],Log[文档编码],0),0),MIN(IF(Log[文档编码]=List[[#This Row],[文档编码]],Log[日期])),"")</f>
        <v/>
      </c>
      <c r="E7" s="5" t="str" cm="1">
        <f t="array" ref="E7">IF(IFERROR(MATCH(List[[#This Row],[文档编码]],Log[文档编码],0),FALSE),MAX(IF(Log[文档编码]=List[[#This Row],[文档编码]],Log[日期])),"")</f>
        <v/>
      </c>
      <c r="F7" s="2"/>
      <c r="G7" s="2" t="s">
        <v>80</v>
      </c>
      <c r="H7" s="10" t="str">
        <f>HYPERLINK($H$1&amp;List[[#This Row],[文档编码]])</f>
        <v>.\24001A-TE-DW-0001</v>
      </c>
    </row>
    <row r="8" spans="1:13" x14ac:dyDescent="0.25">
      <c r="A8" s="16"/>
      <c r="B8" s="15" t="s">
        <v>30</v>
      </c>
      <c r="C8" s="19">
        <f>IFERROR(VLOOKUP(List[[#This Row],[末版受控]]&amp;List[[#This Row],[文档编码]],Log[],MATCH(Log[[#Headers],[版本]],Log[#Headers],0),0),"")</f>
        <v>0</v>
      </c>
      <c r="D8" s="17" t="str" cm="1">
        <f t="array" ref="D8">IF(IFERROR(MATCH(List[[#This Row],[文档编码]],Log[文档编码],0),0),MIN(IF(Log[文档编码]=List[[#This Row],[文档编码]],Log[日期])),"")</f>
        <v/>
      </c>
      <c r="E8" s="17" t="str" cm="1">
        <f t="array" ref="E8">IF(IFERROR(MATCH(List[[#This Row],[文档编码]],Log[文档编码],0),FALSE),MAX(IF(Log[文档编码]=List[[#This Row],[文档编码]],Log[日期])),"")</f>
        <v/>
      </c>
      <c r="F8" s="15"/>
      <c r="G8" s="15"/>
      <c r="H8" s="18" t="str">
        <f>HYPERLINK($H$1&amp;List[[#This Row],[文档编码]])</f>
        <v>.\</v>
      </c>
      <c r="I8" s="19"/>
      <c r="J8" s="19"/>
      <c r="K8" s="19"/>
      <c r="L8" s="19"/>
      <c r="M8" s="19"/>
    </row>
    <row r="9" spans="1:13" x14ac:dyDescent="0.25">
      <c r="A9" s="20" t="str">
        <f>$F$1&amp;"-ST-CA-0001"</f>
        <v>24001A-ST-CA-0001</v>
      </c>
      <c r="B9" s="2" t="s">
        <v>31</v>
      </c>
      <c r="C9" s="6" t="str">
        <f>IFERROR(VLOOKUP(List[[#This Row],[末版受控]]&amp;List[[#This Row],[文档编码]],Log[],MATCH(Log[[#Headers],[版本]],Log[#Headers],0),0),"")</f>
        <v/>
      </c>
      <c r="D9" s="5" t="str" cm="1">
        <f t="array" ref="D9">IF(IFERROR(MATCH(List[[#This Row],[文档编码]],Log[文档编码],0),0),MIN(IF(Log[文档编码]=List[[#This Row],[文档编码]],Log[日期])),"")</f>
        <v/>
      </c>
      <c r="E9" s="5" t="str" cm="1">
        <f t="array" ref="E9">IF(IFERROR(MATCH(List[[#This Row],[文档编码]],Log[文档编码],0),FALSE),MAX(IF(Log[文档编码]=List[[#This Row],[文档编码]],Log[日期])),"")</f>
        <v/>
      </c>
      <c r="F9" s="2"/>
      <c r="G9" s="2"/>
      <c r="H9" s="10" t="str">
        <f>HYPERLINK($H$1&amp;List[[#This Row],[文档编码]])</f>
        <v>.\24001A-ST-CA-0001</v>
      </c>
    </row>
    <row r="10" spans="1:13" x14ac:dyDescent="0.25">
      <c r="A10" s="20" t="str">
        <f>$F$1&amp;"-ST-DW-0001"</f>
        <v>24001A-ST-DW-0001</v>
      </c>
      <c r="B10" s="2" t="s">
        <v>32</v>
      </c>
      <c r="C10" s="13" t="str">
        <f>IFERROR(VLOOKUP(List[[#This Row],[末版受控]]&amp;List[[#This Row],[文档编码]],Log[],MATCH(Log[[#Headers],[版本]],Log[#Headers],0),0),"")</f>
        <v/>
      </c>
      <c r="D10" s="5" t="str" cm="1">
        <f t="array" ref="D10">IF(IFERROR(MATCH(List[[#This Row],[文档编码]],Log[文档编码],0),0),MIN(IF(Log[文档编码]=List[[#This Row],[文档编码]],Log[日期])),"")</f>
        <v/>
      </c>
      <c r="E10" s="5" t="str" cm="1">
        <f t="array" ref="E10">IF(IFERROR(MATCH(List[[#This Row],[文档编码]],Log[文档编码],0),FALSE),MAX(IF(Log[文档编码]=List[[#This Row],[文档编码]],Log[日期])),"")</f>
        <v/>
      </c>
      <c r="F10" s="2"/>
      <c r="G10" s="2" t="s">
        <v>81</v>
      </c>
      <c r="H10" s="10" t="str">
        <f>HYPERLINK($H$1&amp;List[[#This Row],[文档编码]])</f>
        <v>.\24001A-ST-DW-0001</v>
      </c>
    </row>
    <row r="11" spans="1:13" x14ac:dyDescent="0.25">
      <c r="A11" s="20" t="str">
        <f>$F$1&amp;"-ST-DW-0008"</f>
        <v>24001A-ST-DW-0008</v>
      </c>
      <c r="B11" s="2" t="s">
        <v>33</v>
      </c>
      <c r="C11" s="13" t="str">
        <f>IFERROR(VLOOKUP(List[[#This Row],[末版受控]]&amp;List[[#This Row],[文档编码]],Log[],MATCH(Log[[#Headers],[版本]],Log[#Headers],0),0),"")</f>
        <v/>
      </c>
      <c r="D11" s="5" t="str" cm="1">
        <f t="array" ref="D11">IF(IFERROR(MATCH(List[[#This Row],[文档编码]],Log[文档编码],0),0),MIN(IF(Log[文档编码]=List[[#This Row],[文档编码]],Log[日期])),"")</f>
        <v/>
      </c>
      <c r="E11" s="5" t="str" cm="1">
        <f t="array" ref="E11">IF(IFERROR(MATCH(List[[#This Row],[文档编码]],Log[文档编码],0),FALSE),MAX(IF(Log[文档编码]=List[[#This Row],[文档编码]],Log[日期])),"")</f>
        <v/>
      </c>
      <c r="F11" s="2"/>
      <c r="G11" s="2" t="s">
        <v>80</v>
      </c>
      <c r="H11" s="10" t="str">
        <f>HYPERLINK($H$1&amp;List[[#This Row],[文档编码]])</f>
        <v>.\24001A-ST-DW-0008</v>
      </c>
    </row>
    <row r="12" spans="1:13" x14ac:dyDescent="0.25">
      <c r="A12" s="20" t="str">
        <f>$F$1&amp;"-ST-DW-0100"</f>
        <v>24001A-ST-DW-0100</v>
      </c>
      <c r="B12" s="2" t="s">
        <v>34</v>
      </c>
      <c r="C12" s="13" t="str">
        <f>IFERROR(VLOOKUP(List[[#This Row],[末版受控]]&amp;List[[#This Row],[文档编码]],Log[],MATCH(Log[[#Headers],[版本]],Log[#Headers],0),0),"")</f>
        <v/>
      </c>
      <c r="D12" s="5" t="str" cm="1">
        <f t="array" ref="D12">IF(IFERROR(MATCH(List[[#This Row],[文档编码]],Log[文档编码],0),0),MIN(IF(Log[文档编码]=List[[#This Row],[文档编码]],Log[日期])),"")</f>
        <v/>
      </c>
      <c r="E12" s="5" t="str" cm="1">
        <f t="array" ref="E12">IF(IFERROR(MATCH(List[[#This Row],[文档编码]],Log[文档编码],0),FALSE),MAX(IF(Log[文档编码]=List[[#This Row],[文档编码]],Log[日期])),"")</f>
        <v/>
      </c>
      <c r="F12" s="2"/>
      <c r="G12" s="2" t="s">
        <v>82</v>
      </c>
      <c r="H12" s="10" t="str">
        <f>HYPERLINK($H$1&amp;List[[#This Row],[文档编码]])</f>
        <v>.\24001A-ST-DW-0100</v>
      </c>
    </row>
    <row r="13" spans="1:13" x14ac:dyDescent="0.25">
      <c r="A13" s="20" t="str">
        <f>$F$1&amp;"-ST-DW-0110"</f>
        <v>24001A-ST-DW-0110</v>
      </c>
      <c r="B13" s="2" t="s">
        <v>35</v>
      </c>
      <c r="C13" s="13" t="str">
        <f>IFERROR(VLOOKUP(List[[#This Row],[末版受控]]&amp;List[[#This Row],[文档编码]],Log[],MATCH(Log[[#Headers],[版本]],Log[#Headers],0),0),"")</f>
        <v/>
      </c>
      <c r="D13" s="5" t="str" cm="1">
        <f t="array" ref="D13">IF(IFERROR(MATCH(List[[#This Row],[文档编码]],Log[文档编码],0),0),MIN(IF(Log[文档编码]=List[[#This Row],[文档编码]],Log[日期])),"")</f>
        <v/>
      </c>
      <c r="E13" s="5" t="str" cm="1">
        <f t="array" ref="E13">IF(IFERROR(MATCH(List[[#This Row],[文档编码]],Log[文档编码],0),FALSE),MAX(IF(Log[文档编码]=List[[#This Row],[文档编码]],Log[日期])),"")</f>
        <v/>
      </c>
      <c r="F13" s="2"/>
      <c r="G13" s="2" t="s">
        <v>83</v>
      </c>
      <c r="H13" s="10" t="str">
        <f>HYPERLINK($H$1&amp;List[[#This Row],[文档编码]])</f>
        <v>.\24001A-ST-DW-0110</v>
      </c>
    </row>
    <row r="14" spans="1:13" x14ac:dyDescent="0.25">
      <c r="A14" s="20" t="str">
        <f>$F$1&amp;"-ST-DW-0120"</f>
        <v>24001A-ST-DW-0120</v>
      </c>
      <c r="B14" s="2" t="s">
        <v>36</v>
      </c>
      <c r="C14" s="13" t="str">
        <f>IFERROR(VLOOKUP(List[[#This Row],[末版受控]]&amp;List[[#This Row],[文档编码]],Log[],MATCH(Log[[#Headers],[版本]],Log[#Headers],0),0),"")</f>
        <v/>
      </c>
      <c r="D14" s="5" t="str" cm="1">
        <f t="array" ref="D14">IF(IFERROR(MATCH(List[[#This Row],[文档编码]],Log[文档编码],0),0),MIN(IF(Log[文档编码]=List[[#This Row],[文档编码]],Log[日期])),"")</f>
        <v/>
      </c>
      <c r="E14" s="5" t="str" cm="1">
        <f t="array" ref="E14">IF(IFERROR(MATCH(List[[#This Row],[文档编码]],Log[文档编码],0),FALSE),MAX(IF(Log[文档编码]=List[[#This Row],[文档编码]],Log[日期])),"")</f>
        <v/>
      </c>
      <c r="F14" s="2"/>
      <c r="G14" s="2" t="s">
        <v>84</v>
      </c>
      <c r="H14" s="10" t="str">
        <f>HYPERLINK($H$1&amp;List[[#This Row],[文档编码]])</f>
        <v>.\24001A-ST-DW-0120</v>
      </c>
    </row>
    <row r="15" spans="1:13" x14ac:dyDescent="0.25">
      <c r="A15" s="20" t="str">
        <f>$F$1&amp;"-ST-DW-0130"</f>
        <v>24001A-ST-DW-0130</v>
      </c>
      <c r="B15" s="2" t="s">
        <v>37</v>
      </c>
      <c r="C15" s="13" t="str">
        <f>IFERROR(VLOOKUP(List[[#This Row],[末版受控]]&amp;List[[#This Row],[文档编码]],Log[],MATCH(Log[[#Headers],[版本]],Log[#Headers],0),0),"")</f>
        <v/>
      </c>
      <c r="D15" s="5" t="str" cm="1">
        <f t="array" ref="D15">IF(IFERROR(MATCH(List[[#This Row],[文档编码]],Log[文档编码],0),0),MIN(IF(Log[文档编码]=List[[#This Row],[文档编码]],Log[日期])),"")</f>
        <v/>
      </c>
      <c r="E15" s="5" t="str" cm="1">
        <f t="array" ref="E15">IF(IFERROR(MATCH(List[[#This Row],[文档编码]],Log[文档编码],0),FALSE),MAX(IF(Log[文档编码]=List[[#This Row],[文档编码]],Log[日期])),"")</f>
        <v/>
      </c>
      <c r="F15" s="2"/>
      <c r="G15" s="2" t="s">
        <v>85</v>
      </c>
      <c r="H15" s="10" t="str">
        <f>HYPERLINK($H$1&amp;List[[#This Row],[文档编码]])</f>
        <v>.\24001A-ST-DW-0130</v>
      </c>
    </row>
    <row r="16" spans="1:13" ht="15" customHeight="1" x14ac:dyDescent="0.25">
      <c r="A16" s="20" t="str">
        <f>$F$1&amp;"-ST-DW-0140"</f>
        <v>24001A-ST-DW-0140</v>
      </c>
      <c r="B16" s="2" t="s">
        <v>38</v>
      </c>
      <c r="C16" s="13" t="str">
        <f>IFERROR(VLOOKUP(List[[#This Row],[末版受控]]&amp;List[[#This Row],[文档编码]],Log[],MATCH(Log[[#Headers],[版本]],Log[#Headers],0),0),"")</f>
        <v/>
      </c>
      <c r="D16" s="5" t="str" cm="1">
        <f t="array" ref="D16">IF(IFERROR(MATCH(List[[#This Row],[文档编码]],Log[文档编码],0),0),MIN(IF(Log[文档编码]=List[[#This Row],[文档编码]],Log[日期])),"")</f>
        <v/>
      </c>
      <c r="E16" s="5" t="str" cm="1">
        <f t="array" ref="E16">IF(IFERROR(MATCH(List[[#This Row],[文档编码]],Log[文档编码],0),FALSE),MAX(IF(Log[文档编码]=List[[#This Row],[文档编码]],Log[日期])),"")</f>
        <v/>
      </c>
      <c r="F16" s="2"/>
      <c r="G16" s="2" t="s">
        <v>85</v>
      </c>
      <c r="H16" s="10" t="str">
        <f>HYPERLINK($H$1&amp;List[[#This Row],[文档编码]])</f>
        <v>.\24001A-ST-DW-0140</v>
      </c>
    </row>
    <row r="17" spans="1:13" x14ac:dyDescent="0.25">
      <c r="A17" s="20" t="str">
        <f>$F$1&amp;"-ST-DW-0150"</f>
        <v>24001A-ST-DW-0150</v>
      </c>
      <c r="B17" s="2" t="s">
        <v>39</v>
      </c>
      <c r="C17" s="13" t="str">
        <f>IFERROR(VLOOKUP(List[[#This Row],[末版受控]]&amp;List[[#This Row],[文档编码]],Log[],MATCH(Log[[#Headers],[版本]],Log[#Headers],0),0),"")</f>
        <v/>
      </c>
      <c r="D17" s="5" t="str" cm="1">
        <f t="array" ref="D17">IF(IFERROR(MATCH(List[[#This Row],[文档编码]],Log[文档编码],0),0),MIN(IF(Log[文档编码]=List[[#This Row],[文档编码]],Log[日期])),"")</f>
        <v/>
      </c>
      <c r="E17" s="5" t="str" cm="1">
        <f t="array" ref="E17">IF(IFERROR(MATCH(List[[#This Row],[文档编码]],Log[文档编码],0),FALSE),MAX(IF(Log[文档编码]=List[[#This Row],[文档编码]],Log[日期])),"")</f>
        <v/>
      </c>
      <c r="F17" s="2"/>
      <c r="G17" s="2" t="s">
        <v>86</v>
      </c>
      <c r="H17" s="10" t="str">
        <f>HYPERLINK($H$1&amp;List[[#This Row],[文档编码]])</f>
        <v>.\24001A-ST-DW-0150</v>
      </c>
    </row>
    <row r="18" spans="1:13" x14ac:dyDescent="0.25">
      <c r="A18" s="20" t="str">
        <f>$F$1&amp;"-ST-DW-0160"</f>
        <v>24001A-ST-DW-0160</v>
      </c>
      <c r="B18" s="2" t="s">
        <v>40</v>
      </c>
      <c r="C18" s="13" t="str">
        <f>IFERROR(VLOOKUP(List[[#This Row],[末版受控]]&amp;List[[#This Row],[文档编码]],Log[],MATCH(Log[[#Headers],[版本]],Log[#Headers],0),0),"")</f>
        <v/>
      </c>
      <c r="D18" s="5" t="str" cm="1">
        <f t="array" ref="D18">IF(IFERROR(MATCH(List[[#This Row],[文档编码]],Log[文档编码],0),0),MIN(IF(Log[文档编码]=List[[#This Row],[文档编码]],Log[日期])),"")</f>
        <v/>
      </c>
      <c r="E18" s="5" t="str" cm="1">
        <f t="array" ref="E18">IF(IFERROR(MATCH(List[[#This Row],[文档编码]],Log[文档编码],0),FALSE),MAX(IF(Log[文档编码]=List[[#This Row],[文档编码]],Log[日期])),"")</f>
        <v/>
      </c>
      <c r="F18" s="2"/>
      <c r="G18" s="2" t="s">
        <v>87</v>
      </c>
      <c r="H18" s="10" t="str">
        <f>HYPERLINK($H$1&amp;List[[#This Row],[文档编码]])</f>
        <v>.\24001A-ST-DW-0160</v>
      </c>
    </row>
    <row r="19" spans="1:13" x14ac:dyDescent="0.25">
      <c r="A19" s="20" t="str">
        <f>$F$1&amp;"-ST-DW-0170"</f>
        <v>24001A-ST-DW-0170</v>
      </c>
      <c r="B19" s="2" t="s">
        <v>41</v>
      </c>
      <c r="C19" s="13" t="str">
        <f>IFERROR(VLOOKUP(List[[#This Row],[末版受控]]&amp;List[[#This Row],[文档编码]],Log[],MATCH(Log[[#Headers],[版本]],Log[#Headers],0),0),"")</f>
        <v/>
      </c>
      <c r="D19" s="5" t="str" cm="1">
        <f t="array" ref="D19">IF(IFERROR(MATCH(List[[#This Row],[文档编码]],Log[文档编码],0),0),MIN(IF(Log[文档编码]=List[[#This Row],[文档编码]],Log[日期])),"")</f>
        <v/>
      </c>
      <c r="E19" s="5" t="str" cm="1">
        <f t="array" ref="E19">IF(IFERROR(MATCH(List[[#This Row],[文档编码]],Log[文档编码],0),FALSE),MAX(IF(Log[文档编码]=List[[#This Row],[文档编码]],Log[日期])),"")</f>
        <v/>
      </c>
      <c r="F19" s="2"/>
      <c r="G19" s="2"/>
      <c r="H19" s="10" t="str">
        <f>HYPERLINK($H$1&amp;List[[#This Row],[文档编码]])</f>
        <v>.\24001A-ST-DW-0170</v>
      </c>
    </row>
    <row r="20" spans="1:13" x14ac:dyDescent="0.25">
      <c r="A20" s="20" t="str">
        <f>$F$1&amp;"-ST-DW-0180"</f>
        <v>24001A-ST-DW-0180</v>
      </c>
      <c r="B20" s="2" t="s">
        <v>42</v>
      </c>
      <c r="C20" s="13" t="str">
        <f>IFERROR(VLOOKUP(List[[#This Row],[末版受控]]&amp;List[[#This Row],[文档编码]],Log[],MATCH(Log[[#Headers],[版本]],Log[#Headers],0),0),"")</f>
        <v/>
      </c>
      <c r="D20" s="5" t="str" cm="1">
        <f t="array" ref="D20">IF(IFERROR(MATCH(List[[#This Row],[文档编码]],Log[文档编码],0),0),MIN(IF(Log[文档编码]=List[[#This Row],[文档编码]],Log[日期])),"")</f>
        <v/>
      </c>
      <c r="E20" s="5" t="str" cm="1">
        <f t="array" ref="E20">IF(IFERROR(MATCH(List[[#This Row],[文档编码]],Log[文档编码],0),FALSE),MAX(IF(Log[文档编码]=List[[#This Row],[文档编码]],Log[日期])),"")</f>
        <v/>
      </c>
      <c r="F20" s="2"/>
      <c r="G20" s="2" t="s">
        <v>88</v>
      </c>
      <c r="H20" s="10" t="str">
        <f>HYPERLINK($H$1&amp;List[[#This Row],[文档编码]])</f>
        <v>.\24001A-ST-DW-0180</v>
      </c>
    </row>
    <row r="21" spans="1:13" x14ac:dyDescent="0.25">
      <c r="A21" s="20" t="str">
        <f>$F$1&amp;"-ST-DW-0190"</f>
        <v>24001A-ST-DW-0190</v>
      </c>
      <c r="B21" s="2" t="s">
        <v>43</v>
      </c>
      <c r="C21" s="13" t="str">
        <f>IFERROR(VLOOKUP(List[[#This Row],[末版受控]]&amp;List[[#This Row],[文档编码]],Log[],MATCH(Log[[#Headers],[版本]],Log[#Headers],0),0),"")</f>
        <v/>
      </c>
      <c r="D21" s="5" t="str" cm="1">
        <f t="array" ref="D21">IF(IFERROR(MATCH(List[[#This Row],[文档编码]],Log[文档编码],0),0),MIN(IF(Log[文档编码]=List[[#This Row],[文档编码]],Log[日期])),"")</f>
        <v/>
      </c>
      <c r="E21" s="5" t="str" cm="1">
        <f t="array" ref="E21">IF(IFERROR(MATCH(List[[#This Row],[文档编码]],Log[文档编码],0),FALSE),MAX(IF(Log[文档编码]=List[[#This Row],[文档编码]],Log[日期])),"")</f>
        <v/>
      </c>
      <c r="F21" s="2"/>
      <c r="G21" s="2"/>
      <c r="H21" s="10" t="str">
        <f>HYPERLINK($H$1&amp;List[[#This Row],[文档编码]])</f>
        <v>.\24001A-ST-DW-0190</v>
      </c>
    </row>
    <row r="22" spans="1:13" x14ac:dyDescent="0.25">
      <c r="A22" s="20" t="str">
        <f>$F$1&amp;"-ST-DW-02XX"</f>
        <v>24001A-ST-DW-02XX</v>
      </c>
      <c r="B22" s="2" t="s">
        <v>44</v>
      </c>
      <c r="C22" s="13" t="str">
        <f>IFERROR(VLOOKUP(List[[#This Row],[末版受控]]&amp;List[[#This Row],[文档编码]],Log[],MATCH(Log[[#Headers],[版本]],Log[#Headers],0),0),"")</f>
        <v/>
      </c>
      <c r="D22" s="5" t="str" cm="1">
        <f t="array" ref="D22">IF(IFERROR(MATCH(List[[#This Row],[文档编码]],Log[文档编码],0),0),MIN(IF(Log[文档编码]=List[[#This Row],[文档编码]],Log[日期])),"")</f>
        <v/>
      </c>
      <c r="E22" s="5" t="str" cm="1">
        <f t="array" ref="E22">IF(IFERROR(MATCH(List[[#This Row],[文档编码]],Log[文档编码],0),FALSE),MAX(IF(Log[文档编码]=List[[#This Row],[文档编码]],Log[日期])),"")</f>
        <v/>
      </c>
      <c r="F22" s="2"/>
      <c r="G22" s="2" t="s">
        <v>89</v>
      </c>
      <c r="H22" s="10" t="str">
        <f>HYPERLINK($H$1&amp;List[[#This Row],[文档编码]])</f>
        <v>.\24001A-ST-DW-02XX</v>
      </c>
    </row>
    <row r="23" spans="1:13" x14ac:dyDescent="0.25">
      <c r="A23" s="20" t="str">
        <f>$F$1&amp;"-ST-DW-03XX"</f>
        <v>24001A-ST-DW-03XX</v>
      </c>
      <c r="B23" s="2" t="s">
        <v>45</v>
      </c>
      <c r="C23" s="13" t="str">
        <f>IFERROR(VLOOKUP(List[[#This Row],[末版受控]]&amp;List[[#This Row],[文档编码]],Log[],MATCH(Log[[#Headers],[版本]],Log[#Headers],0),0),"")</f>
        <v/>
      </c>
      <c r="D23" s="5" t="str" cm="1">
        <f t="array" ref="D23">IF(IFERROR(MATCH(List[[#This Row],[文档编码]],Log[文档编码],0),0),MIN(IF(Log[文档编码]=List[[#This Row],[文档编码]],Log[日期])),"")</f>
        <v/>
      </c>
      <c r="E23" s="5" t="str" cm="1">
        <f t="array" ref="E23">IF(IFERROR(MATCH(List[[#This Row],[文档编码]],Log[文档编码],0),FALSE),MAX(IF(Log[文档编码]=List[[#This Row],[文档编码]],Log[日期])),"")</f>
        <v/>
      </c>
      <c r="F23" s="2"/>
      <c r="G23" s="2" t="s">
        <v>90</v>
      </c>
      <c r="H23" s="10" t="str">
        <f>HYPERLINK($H$1&amp;List[[#This Row],[文档编码]])</f>
        <v>.\24001A-ST-DW-03XX</v>
      </c>
    </row>
    <row r="24" spans="1:13" x14ac:dyDescent="0.25">
      <c r="A24" s="20" t="str">
        <f>$F$1&amp;"-ST-DW-04XX"</f>
        <v>24001A-ST-DW-04XX</v>
      </c>
      <c r="B24" s="2" t="s">
        <v>46</v>
      </c>
      <c r="C24" s="13" t="str">
        <f>IFERROR(VLOOKUP(List[[#This Row],[末版受控]]&amp;List[[#This Row],[文档编码]],Log[],MATCH(Log[[#Headers],[版本]],Log[#Headers],0),0),"")</f>
        <v/>
      </c>
      <c r="D24" s="5" t="str" cm="1">
        <f t="array" ref="D24">IF(IFERROR(MATCH(List[[#This Row],[文档编码]],Log[文档编码],0),0),MIN(IF(Log[文档编码]=List[[#This Row],[文档编码]],Log[日期])),"")</f>
        <v/>
      </c>
      <c r="E24" s="5" t="str" cm="1">
        <f t="array" ref="E24">IF(IFERROR(MATCH(List[[#This Row],[文档编码]],Log[文档编码],0),FALSE),MAX(IF(Log[文档编码]=List[[#This Row],[文档编码]],Log[日期])),"")</f>
        <v/>
      </c>
      <c r="F24" s="2"/>
      <c r="G24" s="2" t="s">
        <v>91</v>
      </c>
      <c r="H24" s="10" t="str">
        <f>HYPERLINK($H$1&amp;List[[#This Row],[文档编码]])</f>
        <v>.\24001A-ST-DW-04XX</v>
      </c>
    </row>
    <row r="25" spans="1:13" x14ac:dyDescent="0.25">
      <c r="A25" s="20" t="str">
        <f>$F$1&amp;"-ST-DW-99XX"</f>
        <v>24001A-ST-DW-99XX</v>
      </c>
      <c r="B25" s="2" t="s">
        <v>47</v>
      </c>
      <c r="C25" s="13" t="str">
        <f>IFERROR(VLOOKUP(List[[#This Row],[末版受控]]&amp;List[[#This Row],[文档编码]],Log[],MATCH(Log[[#Headers],[版本]],Log[#Headers],0),0),"")</f>
        <v/>
      </c>
      <c r="D25" s="5" t="str" cm="1">
        <f t="array" ref="D25">IF(IFERROR(MATCH(List[[#This Row],[文档编码]],Log[文档编码],0),0),MIN(IF(Log[文档编码]=List[[#This Row],[文档编码]],Log[日期])),"")</f>
        <v/>
      </c>
      <c r="E25" s="5" t="str" cm="1">
        <f t="array" ref="E25">IF(IFERROR(MATCH(List[[#This Row],[文档编码]],Log[文档编码],0),FALSE),MAX(IF(Log[文档编码]=List[[#This Row],[文档编码]],Log[日期])),"")</f>
        <v/>
      </c>
      <c r="F25" s="2"/>
      <c r="G25" s="2" t="s">
        <v>92</v>
      </c>
      <c r="H25" s="10" t="str">
        <f>HYPERLINK($H$1&amp;List[[#This Row],[文档编码]])</f>
        <v>.\24001A-ST-DW-99XX</v>
      </c>
    </row>
    <row r="26" spans="1:13" x14ac:dyDescent="0.25">
      <c r="A26" s="20" t="str">
        <f>$F$1&amp;"-ST-LS-0001"</f>
        <v>24001A-ST-LS-0001</v>
      </c>
      <c r="B26" s="2" t="s">
        <v>48</v>
      </c>
      <c r="C26" s="13" t="str">
        <f>IFERROR(VLOOKUP(List[[#This Row],[末版受控]]&amp;List[[#This Row],[文档编码]],Log[],MATCH(Log[[#Headers],[版本]],Log[#Headers],0),0),"")</f>
        <v/>
      </c>
      <c r="D26" s="5" t="str" cm="1">
        <f t="array" ref="D26">IF(IFERROR(MATCH(List[[#This Row],[文档编码]],Log[文档编码],0),0),MIN(IF(Log[文档编码]=List[[#This Row],[文档编码]],Log[日期])),"")</f>
        <v/>
      </c>
      <c r="E26" s="5" t="str" cm="1">
        <f t="array" ref="E26">IF(IFERROR(MATCH(List[[#This Row],[文档编码]],Log[文档编码],0),FALSE),MAX(IF(Log[文档编码]=List[[#This Row],[文档编码]],Log[日期])),"")</f>
        <v/>
      </c>
      <c r="F26" s="2"/>
      <c r="G26" s="2"/>
      <c r="H26" s="10" t="str">
        <f>HYPERLINK($H$1&amp;List[[#This Row],[文档编码]])</f>
        <v>.\24001A-ST-LS-0001</v>
      </c>
    </row>
    <row r="27" spans="1:13" x14ac:dyDescent="0.25">
      <c r="A27" s="20" t="str">
        <f>$F$1&amp;"-ST-LS-0002"</f>
        <v>24001A-ST-LS-0002</v>
      </c>
      <c r="B27" s="2" t="s">
        <v>49</v>
      </c>
      <c r="C27" s="13" t="str">
        <f>IFERROR(VLOOKUP(List[[#This Row],[末版受控]]&amp;List[[#This Row],[文档编码]],Log[],MATCH(Log[[#Headers],[版本]],Log[#Headers],0),0),"")</f>
        <v/>
      </c>
      <c r="D27" s="5" t="str" cm="1">
        <f t="array" ref="D27">IF(IFERROR(MATCH(List[[#This Row],[文档编码]],Log[文档编码],0),0),MIN(IF(Log[文档编码]=List[[#This Row],[文档编码]],Log[日期])),"")</f>
        <v/>
      </c>
      <c r="E27" s="5" t="str" cm="1">
        <f t="array" ref="E27">IF(IFERROR(MATCH(List[[#This Row],[文档编码]],Log[文档编码],0),FALSE),MAX(IF(Log[文档编码]=List[[#This Row],[文档编码]],Log[日期])),"")</f>
        <v/>
      </c>
      <c r="F27" s="2"/>
      <c r="G27" s="2"/>
      <c r="H27" s="10" t="str">
        <f>HYPERLINK($H$1&amp;List[[#This Row],[文档编码]])</f>
        <v>.\24001A-ST-LS-0002</v>
      </c>
    </row>
    <row r="28" spans="1:13" x14ac:dyDescent="0.25">
      <c r="A28" s="16"/>
      <c r="B28" s="15" t="s">
        <v>50</v>
      </c>
      <c r="C28" s="16">
        <f>IFERROR(VLOOKUP(List[[#This Row],[末版受控]]&amp;List[[#This Row],[文档编码]],Log[],MATCH(Log[[#Headers],[版本]],Log[#Headers],0),0),"")</f>
        <v>0</v>
      </c>
      <c r="D28" s="17" t="str" cm="1">
        <f t="array" ref="D28">IF(IFERROR(MATCH(List[[#This Row],[文档编码]],Log[文档编码],0),0),MIN(IF(Log[文档编码]=List[[#This Row],[文档编码]],Log[日期])),"")</f>
        <v/>
      </c>
      <c r="E28" s="17" t="str" cm="1">
        <f t="array" ref="E28">IF(IFERROR(MATCH(List[[#This Row],[文档编码]],Log[文档编码],0),FALSE),MAX(IF(Log[文档编码]=List[[#This Row],[文档编码]],Log[日期])),"")</f>
        <v/>
      </c>
      <c r="F28" s="15"/>
      <c r="G28" s="15"/>
      <c r="H28" s="18" t="str">
        <f>HYPERLINK($H$1&amp;List[[#This Row],[文档编码]])</f>
        <v>.\</v>
      </c>
      <c r="I28" s="19"/>
      <c r="J28" s="19"/>
      <c r="K28" s="19"/>
      <c r="L28" s="19"/>
      <c r="M28" s="19"/>
    </row>
    <row r="29" spans="1:13" x14ac:dyDescent="0.25">
      <c r="A29" s="20" t="str">
        <f>$F$1&amp;"-AR-DW-0001"</f>
        <v>24001A-AR-DW-0001</v>
      </c>
      <c r="B29" s="2" t="s">
        <v>51</v>
      </c>
      <c r="C29" s="13" t="str">
        <f>IFERROR(VLOOKUP(List[[#This Row],[末版受控]]&amp;List[[#This Row],[文档编码]],Log[],MATCH(Log[[#Headers],[版本]],Log[#Headers],0),0),"")</f>
        <v/>
      </c>
      <c r="D29" s="5" t="str" cm="1">
        <f t="array" ref="D29">IF(IFERROR(MATCH(List[[#This Row],[文档编码]],Log[文档编码],0),0),MIN(IF(Log[文档编码]=List[[#This Row],[文档编码]],Log[日期])),"")</f>
        <v/>
      </c>
      <c r="E29" s="5" t="str" cm="1">
        <f t="array" ref="E29">IF(IFERROR(MATCH(List[[#This Row],[文档编码]],Log[文档编码],0),FALSE),MAX(IF(Log[文档编码]=List[[#This Row],[文档编码]],Log[日期])),"")</f>
        <v/>
      </c>
      <c r="F29" s="2"/>
      <c r="G29" s="2" t="s">
        <v>93</v>
      </c>
      <c r="H29" s="10" t="str">
        <f>HYPERLINK($H$1&amp;List[[#This Row],[文档编码]])</f>
        <v>.\24001A-AR-DW-0001</v>
      </c>
    </row>
    <row r="30" spans="1:13" x14ac:dyDescent="0.25">
      <c r="A30" s="20" t="str">
        <f>$F$1&amp;"-AR-DW-0002"</f>
        <v>24001A-AR-DW-0002</v>
      </c>
      <c r="B30" s="2" t="s">
        <v>52</v>
      </c>
      <c r="C30" s="13" t="str">
        <f>IFERROR(VLOOKUP(List[[#This Row],[末版受控]]&amp;List[[#This Row],[文档编码]],Log[],MATCH(Log[[#Headers],[版本]],Log[#Headers],0),0),"")</f>
        <v/>
      </c>
      <c r="D30" s="5" t="str" cm="1">
        <f t="array" ref="D30">IF(IFERROR(MATCH(List[[#This Row],[文档编码]],Log[文档编码],0),0),MIN(IF(Log[文档编码]=List[[#This Row],[文档编码]],Log[日期])),"")</f>
        <v/>
      </c>
      <c r="E30" s="5" t="str" cm="1">
        <f t="array" ref="E30">IF(IFERROR(MATCH(List[[#This Row],[文档编码]],Log[文档编码],0),FALSE),MAX(IF(Log[文档编码]=List[[#This Row],[文档编码]],Log[日期])),"")</f>
        <v/>
      </c>
      <c r="F30" s="2"/>
      <c r="G30" s="2" t="s">
        <v>94</v>
      </c>
      <c r="H30" s="10" t="str">
        <f>HYPERLINK($H$1&amp;List[[#This Row],[文档编码]])</f>
        <v>.\24001A-AR-DW-0002</v>
      </c>
    </row>
    <row r="31" spans="1:13" x14ac:dyDescent="0.25">
      <c r="A31" s="20" t="str">
        <f>$F$1&amp;"-AR-DW-0003"</f>
        <v>24001A-AR-DW-0003</v>
      </c>
      <c r="B31" s="2" t="s">
        <v>53</v>
      </c>
      <c r="C31" s="13" t="str">
        <f>IFERROR(VLOOKUP(List[[#This Row],[末版受控]]&amp;List[[#This Row],[文档编码]],Log[],MATCH(Log[[#Headers],[版本]],Log[#Headers],0),0),"")</f>
        <v/>
      </c>
      <c r="D31" s="5" t="str" cm="1">
        <f t="array" ref="D31">IF(IFERROR(MATCH(List[[#This Row],[文档编码]],Log[文档编码],0),0),MIN(IF(Log[文档编码]=List[[#This Row],[文档编码]],Log[日期])),"")</f>
        <v/>
      </c>
      <c r="E31" s="5" t="str" cm="1">
        <f t="array" ref="E31">IF(IFERROR(MATCH(List[[#This Row],[文档编码]],Log[文档编码],0),FALSE),MAX(IF(Log[文档编码]=List[[#This Row],[文档编码]],Log[日期])),"")</f>
        <v/>
      </c>
      <c r="F31" s="2"/>
      <c r="G31" s="2" t="s">
        <v>95</v>
      </c>
      <c r="H31" s="10" t="str">
        <f>HYPERLINK($H$1&amp;List[[#This Row],[文档编码]])</f>
        <v>.\24001A-AR-DW-0003</v>
      </c>
    </row>
    <row r="32" spans="1:13" x14ac:dyDescent="0.25">
      <c r="A32" s="20" t="str">
        <f>$F$1&amp;"-AR-DW-0004"</f>
        <v>24001A-AR-DW-0004</v>
      </c>
      <c r="B32" s="2" t="s">
        <v>54</v>
      </c>
      <c r="C32" s="13" t="str">
        <f>IFERROR(VLOOKUP(List[[#This Row],[末版受控]]&amp;List[[#This Row],[文档编码]],Log[],MATCH(Log[[#Headers],[版本]],Log[#Headers],0),0),"")</f>
        <v/>
      </c>
      <c r="D32" s="5" t="str" cm="1">
        <f t="array" ref="D32">IF(IFERROR(MATCH(List[[#This Row],[文档编码]],Log[文档编码],0),0),MIN(IF(Log[文档编码]=List[[#This Row],[文档编码]],Log[日期])),"")</f>
        <v/>
      </c>
      <c r="E32" s="5" t="str" cm="1">
        <f t="array" ref="E32">IF(IFERROR(MATCH(List[[#This Row],[文档编码]],Log[文档编码],0),FALSE),MAX(IF(Log[文档编码]=List[[#This Row],[文档编码]],Log[日期])),"")</f>
        <v/>
      </c>
      <c r="F32" s="2"/>
      <c r="G32" s="2" t="s">
        <v>96</v>
      </c>
      <c r="H32" s="10" t="str">
        <f>HYPERLINK($H$1&amp;List[[#This Row],[文档编码]])</f>
        <v>.\24001A-AR-DW-0004</v>
      </c>
    </row>
    <row r="33" spans="1:8" x14ac:dyDescent="0.25">
      <c r="A33" s="20" t="str">
        <f>$F$1&amp;"-AR-DW-0008"</f>
        <v>24001A-AR-DW-0008</v>
      </c>
      <c r="B33" s="2" t="s">
        <v>55</v>
      </c>
      <c r="C33" s="13" t="str">
        <f>IFERROR(VLOOKUP(List[[#This Row],[末版受控]]&amp;List[[#This Row],[文档编码]],Log[],MATCH(Log[[#Headers],[版本]],Log[#Headers],0),0),"")</f>
        <v/>
      </c>
      <c r="D33" s="5" t="str" cm="1">
        <f t="array" ref="D33">IF(IFERROR(MATCH(List[[#This Row],[文档编码]],Log[文档编码],0),0),MIN(IF(Log[文档编码]=List[[#This Row],[文档编码]],Log[日期])),"")</f>
        <v/>
      </c>
      <c r="E33" s="5" t="str" cm="1">
        <f t="array" ref="E33">IF(IFERROR(MATCH(List[[#This Row],[文档编码]],Log[文档编码],0),FALSE),MAX(IF(Log[文档编码]=List[[#This Row],[文档编码]],Log[日期])),"")</f>
        <v/>
      </c>
      <c r="F33" s="2"/>
      <c r="G33" s="2" t="s">
        <v>97</v>
      </c>
      <c r="H33" s="10" t="str">
        <f>HYPERLINK($H$1&amp;List[[#This Row],[文档编码]])</f>
        <v>.\24001A-AR-DW-0008</v>
      </c>
    </row>
    <row r="34" spans="1:8" x14ac:dyDescent="0.25">
      <c r="A34" s="20" t="str">
        <f>$F$1&amp;"-AR-LS-0001"</f>
        <v>24001A-AR-LS-0001</v>
      </c>
      <c r="B34" s="2" t="s">
        <v>56</v>
      </c>
      <c r="C34" s="13" t="str">
        <f>IFERROR(VLOOKUP(List[[#This Row],[末版受控]]&amp;List[[#This Row],[文档编码]],Log[],MATCH(Log[[#Headers],[版本]],Log[#Headers],0),0),"")</f>
        <v/>
      </c>
      <c r="D34" s="5" t="str" cm="1">
        <f t="array" ref="D34">IF(IFERROR(MATCH(List[[#This Row],[文档编码]],Log[文档编码],0),0),MIN(IF(Log[文档编码]=List[[#This Row],[文档编码]],Log[日期])),"")</f>
        <v/>
      </c>
      <c r="E34" s="5" t="str" cm="1">
        <f t="array" ref="E34">IF(IFERROR(MATCH(List[[#This Row],[文档编码]],Log[文档编码],0),FALSE),MAX(IF(Log[文档编码]=List[[#This Row],[文档编码]],Log[日期])),"")</f>
        <v/>
      </c>
      <c r="F34" s="2"/>
      <c r="G34" s="2"/>
      <c r="H34" s="10" t="str">
        <f>HYPERLINK($H$1&amp;List[[#This Row],[文档编码]])</f>
        <v>.\24001A-AR-LS-0001</v>
      </c>
    </row>
    <row r="35" spans="1:8" x14ac:dyDescent="0.25">
      <c r="A35" s="20" t="str">
        <f>$F$1&amp;"-EL-DW-0001"</f>
        <v>24001A-EL-DW-0001</v>
      </c>
      <c r="B35" s="2" t="s">
        <v>57</v>
      </c>
      <c r="C35" s="13" t="str">
        <f>IFERROR(VLOOKUP(List[[#This Row],[末版受控]]&amp;List[[#This Row],[文档编码]],Log[],MATCH(Log[[#Headers],[版本]],Log[#Headers],0),0),"")</f>
        <v/>
      </c>
      <c r="D35" s="5" t="str" cm="1">
        <f t="array" ref="D35">IF(IFERROR(MATCH(List[[#This Row],[文档编码]],Log[文档编码],0),0),MIN(IF(Log[文档编码]=List[[#This Row],[文档编码]],Log[日期])),"")</f>
        <v/>
      </c>
      <c r="E35" s="5" t="str" cm="1">
        <f t="array" ref="E35">IF(IFERROR(MATCH(List[[#This Row],[文档编码]],Log[文档编码],0),FALSE),MAX(IF(Log[文档编码]=List[[#This Row],[文档编码]],Log[日期])),"")</f>
        <v/>
      </c>
      <c r="F35" s="2"/>
      <c r="G35" s="2" t="s">
        <v>57</v>
      </c>
      <c r="H35" s="10" t="str">
        <f>HYPERLINK($H$1&amp;List[[#This Row],[文档编码]])</f>
        <v>.\24001A-EL-DW-0001</v>
      </c>
    </row>
    <row r="36" spans="1:8" x14ac:dyDescent="0.25">
      <c r="A36" s="20" t="str">
        <f>$F$1&amp;"-EL-DW-0002"</f>
        <v>24001A-EL-DW-0002</v>
      </c>
      <c r="B36" s="2" t="s">
        <v>58</v>
      </c>
      <c r="C36" s="13" t="str">
        <f>IFERROR(VLOOKUP(List[[#This Row],[末版受控]]&amp;List[[#This Row],[文档编码]],Log[],MATCH(Log[[#Headers],[版本]],Log[#Headers],0),0),"")</f>
        <v/>
      </c>
      <c r="D36" s="5" t="str" cm="1">
        <f t="array" ref="D36">IF(IFERROR(MATCH(List[[#This Row],[文档编码]],Log[文档编码],0),0),MIN(IF(Log[文档编码]=List[[#This Row],[文档编码]],Log[日期])),"")</f>
        <v/>
      </c>
      <c r="E36" s="5" t="str" cm="1">
        <f t="array" ref="E36">IF(IFERROR(MATCH(List[[#This Row],[文档编码]],Log[文档编码],0),FALSE),MAX(IF(Log[文档编码]=List[[#This Row],[文档编码]],Log[日期])),"")</f>
        <v/>
      </c>
      <c r="F36" s="2"/>
      <c r="G36" s="2" t="s">
        <v>58</v>
      </c>
      <c r="H36" s="10" t="str">
        <f>HYPERLINK($H$1&amp;List[[#This Row],[文档编码]])</f>
        <v>.\24001A-EL-DW-0002</v>
      </c>
    </row>
    <row r="37" spans="1:8" x14ac:dyDescent="0.25">
      <c r="A37" s="20" t="str">
        <f>$F$1&amp;"-EL-DW-0004"</f>
        <v>24001A-EL-DW-0004</v>
      </c>
      <c r="B37" s="2" t="s">
        <v>59</v>
      </c>
      <c r="C37" s="13" t="str">
        <f>IFERROR(VLOOKUP(List[[#This Row],[末版受控]]&amp;List[[#This Row],[文档编码]],Log[],MATCH(Log[[#Headers],[版本]],Log[#Headers],0),0),"")</f>
        <v/>
      </c>
      <c r="D37" s="5" t="str" cm="1">
        <f t="array" ref="D37">IF(IFERROR(MATCH(List[[#This Row],[文档编码]],Log[文档编码],0),0),MIN(IF(Log[文档编码]=List[[#This Row],[文档编码]],Log[日期])),"")</f>
        <v/>
      </c>
      <c r="E37" s="5" t="str" cm="1">
        <f t="array" ref="E37">IF(IFERROR(MATCH(List[[#This Row],[文档编码]],Log[文档编码],0),FALSE),MAX(IF(Log[文档编码]=List[[#This Row],[文档编码]],Log[日期])),"")</f>
        <v/>
      </c>
      <c r="F37" s="2"/>
      <c r="G37" s="2" t="s">
        <v>98</v>
      </c>
      <c r="H37" s="10" t="str">
        <f>HYPERLINK($H$1&amp;List[[#This Row],[文档编码]])</f>
        <v>.\24001A-EL-DW-0004</v>
      </c>
    </row>
    <row r="38" spans="1:8" x14ac:dyDescent="0.25">
      <c r="A38" s="20" t="str">
        <f>$F$1&amp;"-EL-DW-0005"</f>
        <v>24001A-EL-DW-0005</v>
      </c>
      <c r="B38" s="2" t="s">
        <v>60</v>
      </c>
      <c r="C38" s="13" t="str">
        <f>IFERROR(VLOOKUP(List[[#This Row],[末版受控]]&amp;List[[#This Row],[文档编码]],Log[],MATCH(Log[[#Headers],[版本]],Log[#Headers],0),0),"")</f>
        <v/>
      </c>
      <c r="D38" s="5" t="str" cm="1">
        <f t="array" ref="D38">IF(IFERROR(MATCH(List[[#This Row],[文档编码]],Log[文档编码],0),0),MIN(IF(Log[文档编码]=List[[#This Row],[文档编码]],Log[日期])),"")</f>
        <v/>
      </c>
      <c r="E38" s="5" t="str" cm="1">
        <f t="array" ref="E38">IF(IFERROR(MATCH(List[[#This Row],[文档编码]],Log[文档编码],0),FALSE),MAX(IF(Log[文档编码]=List[[#This Row],[文档编码]],Log[日期])),"")</f>
        <v/>
      </c>
      <c r="F38" s="2"/>
      <c r="G38" s="2" t="s">
        <v>99</v>
      </c>
      <c r="H38" s="10" t="str">
        <f>HYPERLINK($H$1&amp;List[[#This Row],[文档编码]])</f>
        <v>.\24001A-EL-DW-0005</v>
      </c>
    </row>
    <row r="39" spans="1:8" x14ac:dyDescent="0.25">
      <c r="A39" s="20" t="str">
        <f>$F$1&amp;"-EL-DW-0006"</f>
        <v>24001A-EL-DW-0006</v>
      </c>
      <c r="B39" s="2" t="s">
        <v>61</v>
      </c>
      <c r="C39" s="13" t="str">
        <f>IFERROR(VLOOKUP(List[[#This Row],[末版受控]]&amp;List[[#This Row],[文档编码]],Log[],MATCH(Log[[#Headers],[版本]],Log[#Headers],0),0),"")</f>
        <v/>
      </c>
      <c r="D39" s="5" t="str" cm="1">
        <f t="array" ref="D39">IF(IFERROR(MATCH(List[[#This Row],[文档编码]],Log[文档编码],0),0),MIN(IF(Log[文档编码]=List[[#This Row],[文档编码]],Log[日期])),"")</f>
        <v/>
      </c>
      <c r="E39" s="5" t="str" cm="1">
        <f t="array" ref="E39">IF(IFERROR(MATCH(List[[#This Row],[文档编码]],Log[文档编码],0),FALSE),MAX(IF(Log[文档编码]=List[[#This Row],[文档编码]],Log[日期])),"")</f>
        <v/>
      </c>
      <c r="F39" s="2"/>
      <c r="G39" s="2"/>
      <c r="H39" s="10" t="str">
        <f>HYPERLINK($H$1&amp;List[[#This Row],[文档编码]])</f>
        <v>.\24001A-EL-DW-0006</v>
      </c>
    </row>
    <row r="40" spans="1:8" x14ac:dyDescent="0.25">
      <c r="A40" s="20" t="str">
        <f>$F$1&amp;"-EL-DW-0008"</f>
        <v>24001A-EL-DW-0008</v>
      </c>
      <c r="B40" s="2" t="s">
        <v>62</v>
      </c>
      <c r="C40" s="13" t="str">
        <f>IFERROR(VLOOKUP(List[[#This Row],[末版受控]]&amp;List[[#This Row],[文档编码]],Log[],MATCH(Log[[#Headers],[版本]],Log[#Headers],0),0),"")</f>
        <v/>
      </c>
      <c r="D40" s="5" t="str" cm="1">
        <f t="array" ref="D40">IF(IFERROR(MATCH(List[[#This Row],[文档编码]],Log[文档编码],0),0),MIN(IF(Log[文档编码]=List[[#This Row],[文档编码]],Log[日期])),"")</f>
        <v/>
      </c>
      <c r="E40" s="5" t="str" cm="1">
        <f t="array" ref="E40">IF(IFERROR(MATCH(List[[#This Row],[文档编码]],Log[文档编码],0),FALSE),MAX(IF(Log[文档编码]=List[[#This Row],[文档编码]],Log[日期])),"")</f>
        <v/>
      </c>
      <c r="F40" s="2"/>
      <c r="G40" s="2" t="s">
        <v>100</v>
      </c>
      <c r="H40" s="10" t="str">
        <f>HYPERLINK($H$1&amp;List[[#This Row],[文档编码]])</f>
        <v>.\24001A-EL-DW-0008</v>
      </c>
    </row>
    <row r="41" spans="1:8" x14ac:dyDescent="0.25">
      <c r="A41" s="20" t="str">
        <f>$F$1&amp;"-EL-DW-01XX"</f>
        <v>24001A-EL-DW-01XX</v>
      </c>
      <c r="B41" s="2" t="s">
        <v>63</v>
      </c>
      <c r="C41" s="13" t="str">
        <f>IFERROR(VLOOKUP(List[[#This Row],[末版受控]]&amp;List[[#This Row],[文档编码]],Log[],MATCH(Log[[#Headers],[版本]],Log[#Headers],0),0),"")</f>
        <v/>
      </c>
      <c r="D41" s="5" t="str" cm="1">
        <f t="array" ref="D41">IF(IFERROR(MATCH(List[[#This Row],[文档编码]],Log[文档编码],0),0),MIN(IF(Log[文档编码]=List[[#This Row],[文档编码]],Log[日期])),"")</f>
        <v/>
      </c>
      <c r="E41" s="5" t="str" cm="1">
        <f t="array" ref="E41">IF(IFERROR(MATCH(List[[#This Row],[文档编码]],Log[文档编码],0),FALSE),MAX(IF(Log[文档编码]=List[[#This Row],[文档编码]],Log[日期])),"")</f>
        <v/>
      </c>
      <c r="F41" s="2"/>
      <c r="G41" s="2" t="s">
        <v>101</v>
      </c>
      <c r="H41" s="10" t="str">
        <f>HYPERLINK($H$1&amp;List[[#This Row],[文档编码]])</f>
        <v>.\24001A-EL-DW-01XX</v>
      </c>
    </row>
    <row r="42" spans="1:8" x14ac:dyDescent="0.25">
      <c r="A42" s="20" t="str">
        <f>$F$1&amp;"-EL-LS-0001"</f>
        <v>24001A-EL-LS-0001</v>
      </c>
      <c r="B42" s="2" t="s">
        <v>64</v>
      </c>
      <c r="C42" s="13" t="str">
        <f>IFERROR(VLOOKUP(List[[#This Row],[末版受控]]&amp;List[[#This Row],[文档编码]],Log[],MATCH(Log[[#Headers],[版本]],Log[#Headers],0),0),"")</f>
        <v/>
      </c>
      <c r="D42" s="5" t="str" cm="1">
        <f t="array" ref="D42">IF(IFERROR(MATCH(List[[#This Row],[文档编码]],Log[文档编码],0),0),MIN(IF(Log[文档编码]=List[[#This Row],[文档编码]],Log[日期])),"")</f>
        <v/>
      </c>
      <c r="E42" s="5" t="str" cm="1">
        <f t="array" ref="E42">IF(IFERROR(MATCH(List[[#This Row],[文档编码]],Log[文档编码],0),FALSE),MAX(IF(Log[文档编码]=List[[#This Row],[文档编码]],Log[日期])),"")</f>
        <v/>
      </c>
      <c r="F42" s="2"/>
      <c r="G42" s="2"/>
      <c r="H42" s="10" t="str">
        <f>HYPERLINK($H$1&amp;List[[#This Row],[文档编码]])</f>
        <v>.\24001A-EL-LS-0001</v>
      </c>
    </row>
    <row r="43" spans="1:8" x14ac:dyDescent="0.25">
      <c r="A43" s="20" t="str">
        <f>$F$1&amp;"-EL-LS-0002"</f>
        <v>24001A-EL-LS-0002</v>
      </c>
      <c r="B43" s="2" t="s">
        <v>65</v>
      </c>
      <c r="C43" s="13" t="str">
        <f>IFERROR(VLOOKUP(List[[#This Row],[末版受控]]&amp;List[[#This Row],[文档编码]],Log[],MATCH(Log[[#Headers],[版本]],Log[#Headers],0),0),"")</f>
        <v/>
      </c>
      <c r="D43" s="5" t="str" cm="1">
        <f t="array" ref="D43">IF(IFERROR(MATCH(List[[#This Row],[文档编码]],Log[文档编码],0),0),MIN(IF(Log[文档编码]=List[[#This Row],[文档编码]],Log[日期])),"")</f>
        <v/>
      </c>
      <c r="E43" s="5" t="str" cm="1">
        <f t="array" ref="E43">IF(IFERROR(MATCH(List[[#This Row],[文档编码]],Log[文档编码],0),FALSE),MAX(IF(Log[文档编码]=List[[#This Row],[文档编码]],Log[日期])),"")</f>
        <v/>
      </c>
      <c r="F43" s="2"/>
      <c r="G43" s="2" t="s">
        <v>102</v>
      </c>
      <c r="H43" s="10" t="str">
        <f>HYPERLINK($H$1&amp;List[[#This Row],[文档编码]])</f>
        <v>.\24001A-EL-LS-0002</v>
      </c>
    </row>
    <row r="44" spans="1:8" x14ac:dyDescent="0.25">
      <c r="A44" s="20" t="str">
        <f>$F$1&amp;"-FF-DW-0001"</f>
        <v>24001A-FF-DW-0001</v>
      </c>
      <c r="B44" s="2" t="s">
        <v>66</v>
      </c>
      <c r="C44" s="13" t="str">
        <f>IFERROR(VLOOKUP(List[[#This Row],[末版受控]]&amp;List[[#This Row],[文档编码]],Log[],MATCH(Log[[#Headers],[版本]],Log[#Headers],0),0),"")</f>
        <v/>
      </c>
      <c r="D44" s="5" t="str" cm="1">
        <f t="array" ref="D44">IF(IFERROR(MATCH(List[[#This Row],[文档编码]],Log[文档编码],0),0),MIN(IF(Log[文档编码]=List[[#This Row],[文档编码]],Log[日期])),"")</f>
        <v/>
      </c>
      <c r="E44" s="5" t="str" cm="1">
        <f t="array" ref="E44">IF(IFERROR(MATCH(List[[#This Row],[文档编码]],Log[文档编码],0),FALSE),MAX(IF(Log[文档编码]=List[[#This Row],[文档编码]],Log[日期])),"")</f>
        <v/>
      </c>
      <c r="F44" s="2"/>
      <c r="G44" s="2" t="s">
        <v>103</v>
      </c>
      <c r="H44" s="10" t="str">
        <f>HYPERLINK($H$1&amp;List[[#This Row],[文档编码]])</f>
        <v>.\24001A-FF-DW-0001</v>
      </c>
    </row>
    <row r="45" spans="1:8" x14ac:dyDescent="0.25">
      <c r="A45" s="20" t="str">
        <f>$F$1&amp;"-FF-LS-0001"</f>
        <v>24001A-FF-LS-0001</v>
      </c>
      <c r="B45" s="2" t="s">
        <v>67</v>
      </c>
      <c r="C45" s="13" t="str">
        <f>IFERROR(VLOOKUP(List[[#This Row],[末版受控]]&amp;List[[#This Row],[文档编码]],Log[],MATCH(Log[[#Headers],[版本]],Log[#Headers],0),0),"")</f>
        <v/>
      </c>
      <c r="D45" s="5" t="str" cm="1">
        <f t="array" ref="D45">IF(IFERROR(MATCH(List[[#This Row],[文档编码]],Log[文档编码],0),0),MIN(IF(Log[文档编码]=List[[#This Row],[文档编码]],Log[日期])),"")</f>
        <v/>
      </c>
      <c r="E45" s="5" t="str" cm="1">
        <f t="array" ref="E45">IF(IFERROR(MATCH(List[[#This Row],[文档编码]],Log[文档编码],0),FALSE),MAX(IF(Log[文档编码]=List[[#This Row],[文档编码]],Log[日期])),"")</f>
        <v/>
      </c>
      <c r="F45" s="2"/>
      <c r="G45" s="2"/>
      <c r="H45" s="10" t="str">
        <f>HYPERLINK($H$1&amp;List[[#This Row],[文档编码]])</f>
        <v>.\24001A-FF-LS-0001</v>
      </c>
    </row>
    <row r="46" spans="1:8" x14ac:dyDescent="0.25">
      <c r="A46" s="20" t="str">
        <f>$F$1&amp;"-HV-CA-0001"</f>
        <v>24001A-HV-CA-0001</v>
      </c>
      <c r="B46" s="2" t="s">
        <v>68</v>
      </c>
      <c r="C46" s="13" t="str">
        <f>IFERROR(VLOOKUP(List[[#This Row],[末版受控]]&amp;List[[#This Row],[文档编码]],Log[],MATCH(Log[[#Headers],[版本]],Log[#Headers],0),0),"")</f>
        <v/>
      </c>
      <c r="D46" s="5" t="str" cm="1">
        <f t="array" ref="D46">IF(IFERROR(MATCH(List[[#This Row],[文档编码]],Log[文档编码],0),0),MIN(IF(Log[文档编码]=List[[#This Row],[文档编码]],Log[日期])),"")</f>
        <v/>
      </c>
      <c r="E46" s="5" t="str" cm="1">
        <f t="array" ref="E46">IF(IFERROR(MATCH(List[[#This Row],[文档编码]],Log[文档编码],0),FALSE),MAX(IF(Log[文档编码]=List[[#This Row],[文档编码]],Log[日期])),"")</f>
        <v/>
      </c>
      <c r="F46" s="2"/>
      <c r="G46" s="2" t="s">
        <v>104</v>
      </c>
      <c r="H46" s="10" t="str">
        <f>HYPERLINK($H$1&amp;List[[#This Row],[文档编码]])</f>
        <v>.\24001A-HV-CA-0001</v>
      </c>
    </row>
    <row r="47" spans="1:8" x14ac:dyDescent="0.25">
      <c r="A47" s="20" t="str">
        <f>$F$1&amp;"-HV-LS-0001"</f>
        <v>24001A-HV-LS-0001</v>
      </c>
      <c r="B47" s="2" t="s">
        <v>69</v>
      </c>
      <c r="C47" s="13" t="str">
        <f>IFERROR(VLOOKUP(List[[#This Row],[末版受控]]&amp;List[[#This Row],[文档编码]],Log[],MATCH(Log[[#Headers],[版本]],Log[#Headers],0),0),"")</f>
        <v/>
      </c>
      <c r="D47" s="5" t="str" cm="1">
        <f t="array" ref="D47">IF(IFERROR(MATCH(List[[#This Row],[文档编码]],Log[文档编码],0),0),MIN(IF(Log[文档编码]=List[[#This Row],[文档编码]],Log[日期])),"")</f>
        <v/>
      </c>
      <c r="E47" s="5" t="str" cm="1">
        <f t="array" ref="E47">IF(IFERROR(MATCH(List[[#This Row],[文档编码]],Log[文档编码],0),FALSE),MAX(IF(Log[文档编码]=List[[#This Row],[文档编码]],Log[日期])),"")</f>
        <v/>
      </c>
      <c r="F47" s="2"/>
      <c r="G47" s="2"/>
      <c r="H47" s="10" t="str">
        <f>HYPERLINK($H$1&amp;List[[#This Row],[文档编码]])</f>
        <v>.\24001A-HV-LS-0001</v>
      </c>
    </row>
    <row r="48" spans="1:8" x14ac:dyDescent="0.25">
      <c r="A48" s="20" t="str">
        <f>$F$1&amp;"-HV-DW-0001"</f>
        <v>24001A-HV-DW-0001</v>
      </c>
      <c r="B48" s="2" t="s">
        <v>70</v>
      </c>
      <c r="C48" s="13" t="str">
        <f>IFERROR(VLOOKUP(List[[#This Row],[末版受控]]&amp;List[[#This Row],[文档编码]],Log[],MATCH(Log[[#Headers],[版本]],Log[#Headers],0),0),"")</f>
        <v/>
      </c>
      <c r="D48" s="5" t="str" cm="1">
        <f t="array" ref="D48">IF(IFERROR(MATCH(List[[#This Row],[文档编码]],Log[文档编码],0),0),MIN(IF(Log[文档编码]=List[[#This Row],[文档编码]],Log[日期])),"")</f>
        <v/>
      </c>
      <c r="E48" s="5" t="str" cm="1">
        <f t="array" ref="E48">IF(IFERROR(MATCH(List[[#This Row],[文档编码]],Log[文档编码],0),FALSE),MAX(IF(Log[文档编码]=List[[#This Row],[文档编码]],Log[日期])),"")</f>
        <v/>
      </c>
      <c r="F48" s="2"/>
      <c r="G48" s="2" t="s">
        <v>105</v>
      </c>
      <c r="H48" s="10" t="str">
        <f>HYPERLINK($H$1&amp;List[[#This Row],[文档编码]])</f>
        <v>.\24001A-HV-DW-0001</v>
      </c>
    </row>
    <row r="49" spans="1:13" x14ac:dyDescent="0.25">
      <c r="A49" s="20" t="str">
        <f>$F$1&amp;"-PP-LS-0001"</f>
        <v>24001A-PP-LS-0001</v>
      </c>
      <c r="B49" s="2" t="s">
        <v>71</v>
      </c>
      <c r="C49" s="13" t="str">
        <f>IFERROR(VLOOKUP(List[[#This Row],[末版受控]]&amp;List[[#This Row],[文档编码]],Log[],MATCH(Log[[#Headers],[版本]],Log[#Headers],0),0),"")</f>
        <v/>
      </c>
      <c r="D49" s="5" t="str" cm="1">
        <f t="array" ref="D49">IF(IFERROR(MATCH(List[[#This Row],[文档编码]],Log[文档编码],0),0),MIN(IF(Log[文档编码]=List[[#This Row],[文档编码]],Log[日期])),"")</f>
        <v/>
      </c>
      <c r="E49" s="5" t="str" cm="1">
        <f t="array" ref="E49">IF(IFERROR(MATCH(List[[#This Row],[文档编码]],Log[文档编码],0),FALSE),MAX(IF(Log[文档编码]=List[[#This Row],[文档编码]],Log[日期])),"")</f>
        <v/>
      </c>
      <c r="F49" s="2"/>
      <c r="G49" s="2"/>
      <c r="H49" s="10" t="str">
        <f>HYPERLINK($H$1&amp;List[[#This Row],[文档编码]])</f>
        <v>.\24001A-PP-LS-0001</v>
      </c>
    </row>
    <row r="50" spans="1:13" x14ac:dyDescent="0.25">
      <c r="A50" s="20" t="str">
        <f>$F$1&amp;"-PP-DW-0001"</f>
        <v>24001A-PP-DW-0001</v>
      </c>
      <c r="B50" s="2" t="s">
        <v>72</v>
      </c>
      <c r="C50" s="13" t="str">
        <f>IFERROR(VLOOKUP(List[[#This Row],[末版受控]]&amp;List[[#This Row],[文档编码]],Log[],MATCH(Log[[#Headers],[版本]],Log[#Headers],0),0),"")</f>
        <v/>
      </c>
      <c r="D50" s="5" t="str" cm="1">
        <f t="array" ref="D50">IF(IFERROR(MATCH(List[[#This Row],[文档编码]],Log[文档编码],0),0),MIN(IF(Log[文档编码]=List[[#This Row],[文档编码]],Log[日期])),"")</f>
        <v/>
      </c>
      <c r="E50" s="5" t="str" cm="1">
        <f t="array" ref="E50">IF(IFERROR(MATCH(List[[#This Row],[文档编码]],Log[文档编码],0),FALSE),MAX(IF(Log[文档编码]=List[[#This Row],[文档编码]],Log[日期])),"")</f>
        <v/>
      </c>
      <c r="F50" s="2"/>
      <c r="G50" s="2"/>
      <c r="H50" s="10" t="str">
        <f>HYPERLINK($H$1&amp;List[[#This Row],[文档编码]])</f>
        <v>.\24001A-PP-DW-0001</v>
      </c>
    </row>
    <row r="51" spans="1:13" x14ac:dyDescent="0.25">
      <c r="A51" s="16"/>
      <c r="B51" s="15" t="s">
        <v>73</v>
      </c>
      <c r="C51" s="16">
        <f>IFERROR(VLOOKUP(List[[#This Row],[末版受控]]&amp;List[[#This Row],[文档编码]],Log[],MATCH(Log[[#Headers],[版本]],Log[#Headers],0),0),"")</f>
        <v>0</v>
      </c>
      <c r="D51" s="17" t="str" cm="1">
        <f t="array" ref="D51">IF(IFERROR(MATCH(List[[#This Row],[文档编码]],Log[文档编码],0),0),MIN(IF(Log[文档编码]=List[[#This Row],[文档编码]],Log[日期])),"")</f>
        <v/>
      </c>
      <c r="E51" s="17" t="str" cm="1">
        <f t="array" ref="E51">IF(IFERROR(MATCH(List[[#This Row],[文档编码]],Log[文档编码],0),FALSE),MAX(IF(Log[文档编码]=List[[#This Row],[文档编码]],Log[日期])),"")</f>
        <v/>
      </c>
      <c r="F51" s="15"/>
      <c r="G51" s="15"/>
      <c r="H51" s="18" t="str">
        <f>HYPERLINK($H$1&amp;List[[#This Row],[文档编码]])</f>
        <v>.\</v>
      </c>
      <c r="I51" s="19"/>
      <c r="J51" s="19"/>
      <c r="K51" s="19"/>
      <c r="L51" s="19"/>
      <c r="M51" s="19"/>
    </row>
    <row r="52" spans="1:13" x14ac:dyDescent="0.25">
      <c r="A52" s="20" t="str">
        <f>$F$1&amp;"-TE-MA-0001"</f>
        <v>24001A-TE-MA-0001</v>
      </c>
      <c r="B52" s="2" t="s">
        <v>74</v>
      </c>
      <c r="C52" s="13" t="str">
        <f>IFERROR(VLOOKUP(List[[#This Row],[末版受控]]&amp;List[[#This Row],[文档编码]],Log[],MATCH(Log[[#Headers],[版本]],Log[#Headers],0),0),"")</f>
        <v/>
      </c>
      <c r="D52" s="5" t="str" cm="1">
        <f t="array" ref="D52">IF(IFERROR(MATCH(List[[#This Row],[文档编码]],Log[文档编码],0),0),MIN(IF(Log[文档编码]=List[[#This Row],[文档编码]],Log[日期])),"")</f>
        <v/>
      </c>
      <c r="E52" s="5" t="str" cm="1">
        <f t="array" ref="E52">IF(IFERROR(MATCH(List[[#This Row],[文档编码]],Log[文档编码],0),FALSE),MAX(IF(Log[文档编码]=List[[#This Row],[文档编码]],Log[日期])),"")</f>
        <v/>
      </c>
      <c r="F52" s="2"/>
      <c r="G52" s="2"/>
      <c r="H52" s="10" t="str">
        <f>HYPERLINK($H$1&amp;List[[#This Row],[文档编码]])</f>
        <v>.\24001A-TE-MA-0001</v>
      </c>
    </row>
    <row r="53" spans="1:13" x14ac:dyDescent="0.25">
      <c r="A53" s="20" t="str">
        <f>$F$1&amp;"-TE-LS-0008"</f>
        <v>24001A-TE-LS-0008</v>
      </c>
      <c r="B53" s="2" t="s">
        <v>75</v>
      </c>
      <c r="C53" s="13" t="str">
        <f>IFERROR(VLOOKUP(List[[#This Row],[末版受控]]&amp;List[[#This Row],[文档编码]],Log[],MATCH(Log[[#Headers],[版本]],Log[#Headers],0),0),"")</f>
        <v/>
      </c>
      <c r="D53" s="5" t="str" cm="1">
        <f t="array" ref="D53">IF(IFERROR(MATCH(List[[#This Row],[文档编码]],Log[文档编码],0),0),MIN(IF(Log[文档编码]=List[[#This Row],[文档编码]],Log[日期])),"")</f>
        <v/>
      </c>
      <c r="E53" s="5" t="str" cm="1">
        <f t="array" ref="E53">IF(IFERROR(MATCH(List[[#This Row],[文档编码]],Log[文档编码],0),FALSE),MAX(IF(Log[文档编码]=List[[#This Row],[文档编码]],Log[日期])),"")</f>
        <v/>
      </c>
      <c r="F53" s="2"/>
      <c r="G53" s="2"/>
      <c r="H53" s="10" t="str">
        <f>HYPERLINK($H$1&amp;List[[#This Row],[文档编码]])</f>
        <v>.\24001A-TE-LS-0008</v>
      </c>
    </row>
    <row r="54" spans="1:13" x14ac:dyDescent="0.25">
      <c r="A54" s="20" t="str">
        <f>$F$1&amp;"-TE-MA-0002"</f>
        <v>24001A-TE-MA-0002</v>
      </c>
      <c r="B54" s="2" t="s">
        <v>76</v>
      </c>
      <c r="C54" s="13" t="str">
        <f>IFERROR(VLOOKUP(List[[#This Row],[末版受控]]&amp;List[[#This Row],[文档编码]],Log[],MATCH(Log[[#Headers],[版本]],Log[#Headers],0),0),"")</f>
        <v/>
      </c>
      <c r="D54" s="5" t="str" cm="1">
        <f t="array" ref="D54">IF(IFERROR(MATCH(List[[#This Row],[文档编码]],Log[文档编码],0),0),MIN(IF(Log[文档编码]=List[[#This Row],[文档编码]],Log[日期])),"")</f>
        <v/>
      </c>
      <c r="E54" s="5" t="str" cm="1">
        <f t="array" ref="E54">IF(IFERROR(MATCH(List[[#This Row],[文档编码]],Log[文档编码],0),FALSE),MAX(IF(Log[文档编码]=List[[#This Row],[文档编码]],Log[日期])),"")</f>
        <v/>
      </c>
      <c r="F54" s="2"/>
      <c r="G54" s="2"/>
      <c r="H54" s="10" t="str">
        <f>HYPERLINK($H$1&amp;List[[#This Row],[文档编码]])</f>
        <v>.\24001A-TE-MA-0002</v>
      </c>
    </row>
    <row r="55" spans="1:13" x14ac:dyDescent="0.25">
      <c r="A55" s="20" t="str">
        <f>$F$1&amp;"-TE-CE-0001"</f>
        <v>24001A-TE-CE-0001</v>
      </c>
      <c r="B55" s="2" t="s">
        <v>77</v>
      </c>
      <c r="C55" s="13" t="str">
        <f>IFERROR(VLOOKUP(List[[#This Row],[末版受控]]&amp;List[[#This Row],[文档编码]],Log[],MATCH(Log[[#Headers],[版本]],Log[#Headers],0),0),"")</f>
        <v/>
      </c>
      <c r="D55" s="5" t="str" cm="1">
        <f t="array" ref="D55">IF(IFERROR(MATCH(List[[#This Row],[文档编码]],Log[文档编码],0),0),MIN(IF(Log[文档编码]=List[[#This Row],[文档编码]],Log[日期])),"")</f>
        <v/>
      </c>
      <c r="E55" s="5" t="str" cm="1">
        <f t="array" ref="E55">IF(IFERROR(MATCH(List[[#This Row],[文档编码]],Log[文档编码],0),FALSE),MAX(IF(Log[文档编码]=List[[#This Row],[文档编码]],Log[日期])),"")</f>
        <v/>
      </c>
      <c r="F55" s="2"/>
      <c r="G55" s="2"/>
      <c r="H55" s="10" t="str">
        <f>HYPERLINK($H$1&amp;List[[#This Row],[文档编码]])</f>
        <v>.\24001A-TE-CE-0001</v>
      </c>
    </row>
  </sheetData>
  <mergeCells count="3">
    <mergeCell ref="B1:B2"/>
    <mergeCell ref="A1:A2"/>
    <mergeCell ref="I3:M3"/>
  </mergeCells>
  <phoneticPr fontId="1" type="noConversion"/>
  <conditionalFormatting sqref="A5:A55">
    <cfRule type="duplicateValues" dxfId="19" priority="10"/>
  </conditionalFormatting>
  <conditionalFormatting sqref="E5:E55">
    <cfRule type="dataBar" priority="11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{2387A3D3-3C03-419E-A9E3-1460DB4AF639}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87A3D3-3C03-419E-A9E3-1460DB4AF639}">
            <x14:dataBar minLength="0" maxLength="100" border="1" gradient="0" negativeBarBorderColorSameAsPositive="0">
              <x14:cfvo type="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="90" zoomScaleNormal="90" workbookViewId="0">
      <pane ySplit="1" topLeftCell="A2" activePane="bottomLeft" state="frozen"/>
      <selection sqref="A1:E77"/>
      <selection pane="bottomLeft" activeCell="K10" sqref="K10"/>
    </sheetView>
  </sheetViews>
  <sheetFormatPr defaultRowHeight="13.8" x14ac:dyDescent="0.25"/>
  <cols>
    <col min="1" max="2" width="3.109375" customWidth="1"/>
    <col min="3" max="3" width="11.6640625" style="3" bestFit="1" customWidth="1"/>
    <col min="4" max="4" width="18.33203125" customWidth="1"/>
    <col min="5" max="5" width="7.21875" bestFit="1" customWidth="1"/>
    <col min="6" max="6" width="30" customWidth="1"/>
    <col min="7" max="7" width="18.44140625" bestFit="1" customWidth="1"/>
    <col min="8" max="8" width="19.21875" customWidth="1"/>
    <col min="9" max="10" width="5" customWidth="1"/>
  </cols>
  <sheetData>
    <row r="1" spans="1:10" x14ac:dyDescent="0.25">
      <c r="A1" t="s">
        <v>6</v>
      </c>
      <c r="B1" t="s">
        <v>7</v>
      </c>
      <c r="C1" s="3" t="s">
        <v>5</v>
      </c>
      <c r="D1" t="s">
        <v>0</v>
      </c>
      <c r="E1" s="2" t="s">
        <v>2</v>
      </c>
      <c r="F1" t="s">
        <v>1</v>
      </c>
      <c r="G1" t="s">
        <v>106</v>
      </c>
      <c r="H1" t="s">
        <v>3</v>
      </c>
      <c r="I1" s="11" t="s">
        <v>14</v>
      </c>
      <c r="J1" s="11" t="s">
        <v>15</v>
      </c>
    </row>
    <row r="2" spans="1:10" x14ac:dyDescent="0.25">
      <c r="A2" s="6" t="str">
        <f>Log[[#This Row],[日期]]&amp;Log[[#This Row],[文档编码]]</f>
        <v/>
      </c>
      <c r="B2" s="6" t="str">
        <f>Log[[#This Row],[文档编码]]&amp;Log[[#This Row],[版本]]</f>
        <v/>
      </c>
      <c r="E2" s="2"/>
      <c r="F2" s="6" t="str">
        <f>IFERROR(VLOOKUP(Log[[#This Row],[文档编码]],List[],2,0),"")</f>
        <v/>
      </c>
      <c r="G2" s="6" t="str">
        <f>Log[[#This Row],[文档编码]]&amp;"_"&amp;Log[[#This Row],[版本]]&amp;" "&amp;Log[[#This Row],[文档标题]]</f>
        <v xml:space="preserve">_ </v>
      </c>
      <c r="H2" s="4" t="str">
        <f>HYPERLINK(List!$H$2&amp;TEXT(Log[[#This Row],[日期]],"YYYYMMDD")&amp;" "&amp;".zip")</f>
        <v>.\!log\19000100 .zip</v>
      </c>
      <c r="I2" t="str">
        <f>"md "&amp;Log[[#This Row],[文档编码]]&amp;"\"&amp;Log[[#This Row],[版本]]</f>
        <v>md \</v>
      </c>
      <c r="J2" t="str">
        <f>"move *"&amp;Log[[#This Row],[文档编码]]&amp;"* "&amp;Log[[#This Row],[文档编码]]&amp;"\"&amp;Log[[#This Row],[版本]]</f>
        <v>move ** \</v>
      </c>
    </row>
    <row r="3" spans="1:10" x14ac:dyDescent="0.25">
      <c r="A3" s="6" t="str">
        <f>Log[[#This Row],[日期]]&amp;Log[[#This Row],[文档编码]]</f>
        <v/>
      </c>
      <c r="B3" s="6" t="str">
        <f>Log[[#This Row],[文档编码]]&amp;Log[[#This Row],[版本]]</f>
        <v/>
      </c>
      <c r="E3" s="2"/>
      <c r="F3" s="6" t="str">
        <f>IFERROR(VLOOKUP(Log[[#This Row],[文档编码]],List[],2,0),"")</f>
        <v/>
      </c>
      <c r="G3" s="6" t="str">
        <f>Log[[#This Row],[文档编码]]&amp;"_"&amp;Log[[#This Row],[版本]]&amp;" "&amp;Log[[#This Row],[文档标题]]</f>
        <v xml:space="preserve">_ </v>
      </c>
      <c r="H3" s="4" t="str">
        <f>HYPERLINK(List!$H$2&amp;TEXT(Log[[#This Row],[日期]],"YYYYMMDD")&amp;" "&amp;".zip")</f>
        <v>.\!log\19000100 .zip</v>
      </c>
      <c r="I3" t="str">
        <f>"md "&amp;Log[[#This Row],[文档编码]]&amp;"\"&amp;Log[[#This Row],[版本]]</f>
        <v>md \</v>
      </c>
      <c r="J3" t="str">
        <f>"move *"&amp;Log[[#This Row],[文档编码]]&amp;"* "&amp;Log[[#This Row],[文档编码]]&amp;"\"&amp;Log[[#This Row],[版本]]</f>
        <v>move ** \</v>
      </c>
    </row>
    <row r="4" spans="1:10" x14ac:dyDescent="0.25">
      <c r="A4" s="6" t="str">
        <f>Log[[#This Row],[日期]]&amp;Log[[#This Row],[文档编码]]</f>
        <v/>
      </c>
      <c r="B4" s="6" t="str">
        <f>Log[[#This Row],[文档编码]]&amp;Log[[#This Row],[版本]]</f>
        <v/>
      </c>
      <c r="E4" s="2"/>
      <c r="F4" s="6" t="str">
        <f>IFERROR(VLOOKUP(Log[[#This Row],[文档编码]],List[],2,0),"")</f>
        <v/>
      </c>
      <c r="G4" s="6" t="str">
        <f>Log[[#This Row],[文档编码]]&amp;"_"&amp;Log[[#This Row],[版本]]&amp;" "&amp;Log[[#This Row],[文档标题]]</f>
        <v xml:space="preserve">_ </v>
      </c>
      <c r="H4" s="4" t="str">
        <f>HYPERLINK(List!$H$2&amp;TEXT(Log[[#This Row],[日期]],"YYYYMMDD")&amp;" "&amp;".zip")</f>
        <v>.\!log\19000100 .zip</v>
      </c>
      <c r="I4" t="str">
        <f>"md "&amp;Log[[#This Row],[文档编码]]&amp;"\"&amp;Log[[#This Row],[版本]]</f>
        <v>md \</v>
      </c>
      <c r="J4" t="str">
        <f>"move *"&amp;Log[[#This Row],[文档编码]]&amp;"* "&amp;Log[[#This Row],[文档编码]]&amp;"\"&amp;Log[[#This Row],[版本]]</f>
        <v>move ** \</v>
      </c>
    </row>
    <row r="5" spans="1:10" x14ac:dyDescent="0.25">
      <c r="A5" s="6" t="str">
        <f>Log[[#This Row],[日期]]&amp;Log[[#This Row],[文档编码]]</f>
        <v/>
      </c>
      <c r="B5" s="6" t="str">
        <f>Log[[#This Row],[文档编码]]&amp;Log[[#This Row],[版本]]</f>
        <v/>
      </c>
      <c r="E5" s="2"/>
      <c r="F5" s="6" t="str">
        <f>IFERROR(VLOOKUP(Log[[#This Row],[文档编码]],List[],2,0),"")</f>
        <v/>
      </c>
      <c r="G5" s="6" t="str">
        <f>Log[[#This Row],[文档编码]]&amp;"_"&amp;Log[[#This Row],[版本]]&amp;" "&amp;Log[[#This Row],[文档标题]]</f>
        <v xml:space="preserve">_ </v>
      </c>
      <c r="H5" s="4" t="str">
        <f>HYPERLINK(List!$H$2&amp;TEXT(Log[[#This Row],[日期]],"YYYYMMDD")&amp;" "&amp;".zip")</f>
        <v>.\!log\19000100 .zip</v>
      </c>
      <c r="I5" t="str">
        <f>"md "&amp;Log[[#This Row],[文档编码]]&amp;"\"&amp;Log[[#This Row],[版本]]</f>
        <v>md \</v>
      </c>
      <c r="J5" t="str">
        <f>"move *"&amp;Log[[#This Row],[文档编码]]&amp;"* "&amp;Log[[#This Row],[文档编码]]&amp;"\"&amp;Log[[#This Row],[版本]]</f>
        <v>move ** \</v>
      </c>
    </row>
    <row r="6" spans="1:10" x14ac:dyDescent="0.25">
      <c r="A6" s="6" t="str">
        <f>Log[[#This Row],[日期]]&amp;Log[[#This Row],[文档编码]]</f>
        <v/>
      </c>
      <c r="B6" s="6" t="str">
        <f>Log[[#This Row],[文档编码]]&amp;Log[[#This Row],[版本]]</f>
        <v/>
      </c>
      <c r="E6" s="2"/>
      <c r="F6" s="6" t="str">
        <f>IFERROR(VLOOKUP(Log[[#This Row],[文档编码]],List[],2,0),"")</f>
        <v/>
      </c>
      <c r="G6" s="6" t="str">
        <f>Log[[#This Row],[文档编码]]&amp;"_"&amp;Log[[#This Row],[版本]]&amp;" "&amp;Log[[#This Row],[文档标题]]</f>
        <v xml:space="preserve">_ </v>
      </c>
      <c r="H6" s="4" t="str">
        <f>HYPERLINK(List!$H$2&amp;TEXT(Log[[#This Row],[日期]],"YYYYMMDD")&amp;" "&amp;".zip")</f>
        <v>.\!log\19000100 .zip</v>
      </c>
      <c r="I6" t="str">
        <f>"md "&amp;Log[[#This Row],[文档编码]]&amp;"\"&amp;Log[[#This Row],[版本]]</f>
        <v>md \</v>
      </c>
      <c r="J6" t="str">
        <f>"move *"&amp;Log[[#This Row],[文档编码]]&amp;"* "&amp;Log[[#This Row],[文档编码]]&amp;"\"&amp;Log[[#This Row],[版本]]</f>
        <v>move ** \</v>
      </c>
    </row>
    <row r="7" spans="1:10" x14ac:dyDescent="0.25">
      <c r="A7" s="6" t="str">
        <f>Log[[#This Row],[日期]]&amp;Log[[#This Row],[文档编码]]</f>
        <v/>
      </c>
      <c r="B7" s="6" t="str">
        <f>Log[[#This Row],[文档编码]]&amp;Log[[#This Row],[版本]]</f>
        <v/>
      </c>
      <c r="E7" s="2"/>
      <c r="F7" s="6" t="str">
        <f>IFERROR(VLOOKUP(Log[[#This Row],[文档编码]],List[],2,0),"")</f>
        <v/>
      </c>
      <c r="G7" s="6" t="str">
        <f>Log[[#This Row],[文档编码]]&amp;"_"&amp;Log[[#This Row],[版本]]&amp;" "&amp;Log[[#This Row],[文档标题]]</f>
        <v xml:space="preserve">_ </v>
      </c>
      <c r="H7" s="4" t="str">
        <f>HYPERLINK(List!$H$2&amp;TEXT(Log[[#This Row],[日期]],"YYYYMMDD")&amp;" "&amp;".zip")</f>
        <v>.\!log\19000100 .zip</v>
      </c>
      <c r="I7" t="str">
        <f>"md "&amp;Log[[#This Row],[文档编码]]&amp;"\"&amp;Log[[#This Row],[版本]]</f>
        <v>md \</v>
      </c>
      <c r="J7" t="str">
        <f>"move *"&amp;Log[[#This Row],[文档编码]]&amp;"* "&amp;Log[[#This Row],[文档编码]]&amp;"\"&amp;Log[[#This Row],[版本]]</f>
        <v>move ** \</v>
      </c>
    </row>
    <row r="8" spans="1:10" x14ac:dyDescent="0.25">
      <c r="A8" s="6" t="str">
        <f>Log[[#This Row],[日期]]&amp;Log[[#This Row],[文档编码]]</f>
        <v/>
      </c>
      <c r="B8" s="6" t="str">
        <f>Log[[#This Row],[文档编码]]&amp;Log[[#This Row],[版本]]</f>
        <v/>
      </c>
      <c r="E8" s="2"/>
      <c r="F8" s="6" t="str">
        <f>IFERROR(VLOOKUP(Log[[#This Row],[文档编码]],List[],2,0),"")</f>
        <v/>
      </c>
      <c r="G8" s="6" t="str">
        <f>Log[[#This Row],[文档编码]]&amp;"_"&amp;Log[[#This Row],[版本]]&amp;" "&amp;Log[[#This Row],[文档标题]]</f>
        <v xml:space="preserve">_ </v>
      </c>
      <c r="H8" s="4" t="str">
        <f>HYPERLINK(List!$H$2&amp;TEXT(Log[[#This Row],[日期]],"YYYYMMDD")&amp;" "&amp;".zip")</f>
        <v>.\!log\19000100 .zip</v>
      </c>
      <c r="I8" t="str">
        <f>"md "&amp;Log[[#This Row],[文档编码]]&amp;"\"&amp;Log[[#This Row],[版本]]</f>
        <v>md \</v>
      </c>
      <c r="J8" t="str">
        <f>"move *"&amp;Log[[#This Row],[文档编码]]&amp;"* "&amp;Log[[#This Row],[文档编码]]&amp;"\"&amp;Log[[#This Row],[版本]]</f>
        <v>move ** \</v>
      </c>
    </row>
    <row r="9" spans="1:10" x14ac:dyDescent="0.25">
      <c r="A9" s="6" t="str">
        <f>Log[[#This Row],[日期]]&amp;Log[[#This Row],[文档编码]]</f>
        <v/>
      </c>
      <c r="B9" s="6" t="str">
        <f>Log[[#This Row],[文档编码]]&amp;Log[[#This Row],[版本]]</f>
        <v/>
      </c>
      <c r="E9" s="2"/>
      <c r="F9" s="6" t="str">
        <f>IFERROR(VLOOKUP(Log[[#This Row],[文档编码]],List[],2,0),"")</f>
        <v/>
      </c>
      <c r="G9" s="6" t="str">
        <f>Log[[#This Row],[文档编码]]&amp;"_"&amp;Log[[#This Row],[版本]]&amp;" "&amp;Log[[#This Row],[文档标题]]</f>
        <v xml:space="preserve">_ </v>
      </c>
      <c r="H9" s="4" t="str">
        <f>HYPERLINK(List!$H$2&amp;TEXT(Log[[#This Row],[日期]],"YYYYMMDD")&amp;" "&amp;".zip")</f>
        <v>.\!log\19000100 .zip</v>
      </c>
      <c r="I9" t="str">
        <f>"md "&amp;Log[[#This Row],[文档编码]]&amp;"\"&amp;Log[[#This Row],[版本]]</f>
        <v>md \</v>
      </c>
      <c r="J9" t="str">
        <f>"move *"&amp;Log[[#This Row],[文档编码]]&amp;"* "&amp;Log[[#This Row],[文档编码]]&amp;"\"&amp;Log[[#This Row],[版本]]</f>
        <v>move ** \</v>
      </c>
    </row>
    <row r="10" spans="1:10" x14ac:dyDescent="0.25">
      <c r="A10" s="6" t="str">
        <f>Log[[#This Row],[日期]]&amp;Log[[#This Row],[文档编码]]</f>
        <v/>
      </c>
      <c r="B10" s="6" t="str">
        <f>Log[[#This Row],[文档编码]]&amp;Log[[#This Row],[版本]]</f>
        <v/>
      </c>
      <c r="E10" s="2"/>
      <c r="F10" s="6" t="str">
        <f>IFERROR(VLOOKUP(Log[[#This Row],[文档编码]],List[],2,0),"")</f>
        <v/>
      </c>
      <c r="G10" s="6" t="str">
        <f>Log[[#This Row],[文档编码]]&amp;"_"&amp;Log[[#This Row],[版本]]&amp;" "&amp;Log[[#This Row],[文档标题]]</f>
        <v xml:space="preserve">_ </v>
      </c>
      <c r="H10" s="4" t="str">
        <f>HYPERLINK(List!$H$2&amp;TEXT(Log[[#This Row],[日期]],"YYYYMMDD")&amp;" "&amp;".zip")</f>
        <v>.\!log\19000100 .zip</v>
      </c>
      <c r="I10" t="str">
        <f>"md "&amp;Log[[#This Row],[文档编码]]&amp;"\"&amp;Log[[#This Row],[版本]]</f>
        <v>md \</v>
      </c>
      <c r="J10" t="str">
        <f>"move *"&amp;Log[[#This Row],[文档编码]]&amp;"* "&amp;Log[[#This Row],[文档编码]]&amp;"\"&amp;Log[[#This Row],[版本]]</f>
        <v>move ** \</v>
      </c>
    </row>
    <row r="11" spans="1:10" x14ac:dyDescent="0.25">
      <c r="A11" s="6" t="str">
        <f>Log[[#This Row],[日期]]&amp;Log[[#This Row],[文档编码]]</f>
        <v/>
      </c>
      <c r="B11" s="6" t="str">
        <f>Log[[#This Row],[文档编码]]&amp;Log[[#This Row],[版本]]</f>
        <v/>
      </c>
      <c r="E11" s="2"/>
      <c r="F11" s="6" t="str">
        <f>IFERROR(VLOOKUP(Log[[#This Row],[文档编码]],List[],2,0),"")</f>
        <v/>
      </c>
      <c r="G11" s="6" t="str">
        <f>Log[[#This Row],[文档编码]]&amp;"_"&amp;Log[[#This Row],[版本]]&amp;" "&amp;Log[[#This Row],[文档标题]]</f>
        <v xml:space="preserve">_ </v>
      </c>
      <c r="H11" s="4" t="str">
        <f>HYPERLINK(List!$H$2&amp;TEXT(Log[[#This Row],[日期]],"YYYYMMDD")&amp;" "&amp;".zip")</f>
        <v>.\!log\19000100 .zip</v>
      </c>
      <c r="I11" t="str">
        <f>"md "&amp;Log[[#This Row],[文档编码]]&amp;"\"&amp;Log[[#This Row],[版本]]</f>
        <v>md \</v>
      </c>
      <c r="J11" t="str">
        <f>"move *"&amp;Log[[#This Row],[文档编码]]&amp;"* "&amp;Log[[#This Row],[文档编码]]&amp;"\"&amp;Log[[#This Row],[版本]]</f>
        <v>move ** \</v>
      </c>
    </row>
    <row r="12" spans="1:10" x14ac:dyDescent="0.25">
      <c r="A12" s="6" t="str">
        <f>Log[[#This Row],[日期]]&amp;Log[[#This Row],[文档编码]]</f>
        <v/>
      </c>
      <c r="B12" s="6" t="str">
        <f>Log[[#This Row],[文档编码]]&amp;Log[[#This Row],[版本]]</f>
        <v/>
      </c>
      <c r="E12" s="2"/>
      <c r="F12" s="6" t="str">
        <f>IFERROR(VLOOKUP(Log[[#This Row],[文档编码]],List[],2,0),"")</f>
        <v/>
      </c>
      <c r="G12" s="6" t="str">
        <f>Log[[#This Row],[文档编码]]&amp;"_"&amp;Log[[#This Row],[版本]]&amp;" "&amp;Log[[#This Row],[文档标题]]</f>
        <v xml:space="preserve">_ </v>
      </c>
      <c r="H12" s="4" t="str">
        <f>HYPERLINK(List!$H$2&amp;TEXT(Log[[#This Row],[日期]],"YYYYMMDD")&amp;" "&amp;".zip")</f>
        <v>.\!log\19000100 .zip</v>
      </c>
      <c r="I12" t="str">
        <f>"md "&amp;Log[[#This Row],[文档编码]]&amp;"\"&amp;Log[[#This Row],[版本]]</f>
        <v>md \</v>
      </c>
      <c r="J12" t="str">
        <f>"move *"&amp;Log[[#This Row],[文档编码]]&amp;"* "&amp;Log[[#This Row],[文档编码]]&amp;"\"&amp;Log[[#This Row],[版本]]</f>
        <v>move ** \</v>
      </c>
    </row>
    <row r="13" spans="1:10" x14ac:dyDescent="0.25">
      <c r="A13" s="6" t="str">
        <f>Log[[#This Row],[日期]]&amp;Log[[#This Row],[文档编码]]</f>
        <v/>
      </c>
      <c r="B13" s="6" t="str">
        <f>Log[[#This Row],[文档编码]]&amp;Log[[#This Row],[版本]]</f>
        <v/>
      </c>
      <c r="E13" s="2"/>
      <c r="F13" s="6" t="str">
        <f>IFERROR(VLOOKUP(Log[[#This Row],[文档编码]],List[],2,0),"")</f>
        <v/>
      </c>
      <c r="G13" s="6" t="str">
        <f>Log[[#This Row],[文档编码]]&amp;"_"&amp;Log[[#This Row],[版本]]&amp;" "&amp;Log[[#This Row],[文档标题]]</f>
        <v xml:space="preserve">_ </v>
      </c>
      <c r="H13" s="4" t="str">
        <f>HYPERLINK(List!$H$2&amp;TEXT(Log[[#This Row],[日期]],"YYYYMMDD")&amp;" "&amp;".zip")</f>
        <v>.\!log\19000100 .zip</v>
      </c>
      <c r="I13" t="str">
        <f>"md "&amp;Log[[#This Row],[文档编码]]&amp;"\"&amp;Log[[#This Row],[版本]]</f>
        <v>md \</v>
      </c>
      <c r="J13" t="str">
        <f>"move *"&amp;Log[[#This Row],[文档编码]]&amp;"* "&amp;Log[[#This Row],[文档编码]]&amp;"\"&amp;Log[[#This Row],[版本]]</f>
        <v>move ** \</v>
      </c>
    </row>
    <row r="14" spans="1:10" x14ac:dyDescent="0.25">
      <c r="A14" s="6" t="str">
        <f>Log[[#This Row],[日期]]&amp;Log[[#This Row],[文档编码]]</f>
        <v/>
      </c>
      <c r="B14" s="6" t="str">
        <f>Log[[#This Row],[文档编码]]&amp;Log[[#This Row],[版本]]</f>
        <v/>
      </c>
      <c r="E14" s="2"/>
      <c r="F14" s="6" t="str">
        <f>IFERROR(VLOOKUP(Log[[#This Row],[文档编码]],List[],2,0),"")</f>
        <v/>
      </c>
      <c r="G14" s="6" t="str">
        <f>Log[[#This Row],[文档编码]]&amp;"_"&amp;Log[[#This Row],[版本]]&amp;" "&amp;Log[[#This Row],[文档标题]]</f>
        <v xml:space="preserve">_ </v>
      </c>
      <c r="H14" s="4" t="str">
        <f>HYPERLINK(List!$H$2&amp;TEXT(Log[[#This Row],[日期]],"YYYYMMDD")&amp;" "&amp;".zip")</f>
        <v>.\!log\19000100 .zip</v>
      </c>
      <c r="I14" t="str">
        <f>"md "&amp;Log[[#This Row],[文档编码]]&amp;"\"&amp;Log[[#This Row],[版本]]</f>
        <v>md \</v>
      </c>
      <c r="J14" t="str">
        <f>"move *"&amp;Log[[#This Row],[文档编码]]&amp;"* "&amp;Log[[#This Row],[文档编码]]&amp;"\"&amp;Log[[#This Row],[版本]]</f>
        <v>move ** \</v>
      </c>
    </row>
    <row r="15" spans="1:10" x14ac:dyDescent="0.25">
      <c r="A15" s="6" t="str">
        <f>Log[[#This Row],[日期]]&amp;Log[[#This Row],[文档编码]]</f>
        <v/>
      </c>
      <c r="B15" s="6" t="str">
        <f>Log[[#This Row],[文档编码]]&amp;Log[[#This Row],[版本]]</f>
        <v/>
      </c>
      <c r="E15" s="2"/>
      <c r="F15" s="6" t="str">
        <f>IFERROR(VLOOKUP(Log[[#This Row],[文档编码]],List[],2,0),"")</f>
        <v/>
      </c>
      <c r="G15" s="6" t="str">
        <f>Log[[#This Row],[文档编码]]&amp;"_"&amp;Log[[#This Row],[版本]]&amp;" "&amp;Log[[#This Row],[文档标题]]</f>
        <v xml:space="preserve">_ </v>
      </c>
      <c r="H15" s="4" t="str">
        <f>HYPERLINK(List!$H$2&amp;TEXT(Log[[#This Row],[日期]],"YYYYMMDD")&amp;" "&amp;".zip")</f>
        <v>.\!log\19000100 .zip</v>
      </c>
      <c r="I15" t="str">
        <f>"md "&amp;Log[[#This Row],[文档编码]]&amp;"\"&amp;Log[[#This Row],[版本]]</f>
        <v>md \</v>
      </c>
      <c r="J15" t="str">
        <f>"move *"&amp;Log[[#This Row],[文档编码]]&amp;"* "&amp;Log[[#This Row],[文档编码]]&amp;"\"&amp;Log[[#This Row],[版本]]</f>
        <v>move ** \</v>
      </c>
    </row>
    <row r="16" spans="1:10" x14ac:dyDescent="0.25">
      <c r="A16" s="6" t="str">
        <f>Log[[#This Row],[日期]]&amp;Log[[#This Row],[文档编码]]</f>
        <v/>
      </c>
      <c r="B16" s="6" t="str">
        <f>Log[[#This Row],[文档编码]]&amp;Log[[#This Row],[版本]]</f>
        <v/>
      </c>
      <c r="E16" s="2"/>
      <c r="F16" s="6" t="str">
        <f>IFERROR(VLOOKUP(Log[[#This Row],[文档编码]],List[],2,0),"")</f>
        <v/>
      </c>
      <c r="G16" s="6" t="str">
        <f>Log[[#This Row],[文档编码]]&amp;"_"&amp;Log[[#This Row],[版本]]&amp;" "&amp;Log[[#This Row],[文档标题]]</f>
        <v xml:space="preserve">_ </v>
      </c>
      <c r="H16" s="4" t="str">
        <f>HYPERLINK(List!$H$2&amp;TEXT(Log[[#This Row],[日期]],"YYYYMMDD")&amp;" "&amp;".zip")</f>
        <v>.\!log\19000100 .zip</v>
      </c>
      <c r="I16" t="str">
        <f>"md "&amp;Log[[#This Row],[文档编码]]&amp;"\"&amp;Log[[#This Row],[版本]]</f>
        <v>md \</v>
      </c>
      <c r="J16" t="str">
        <f>"move *"&amp;Log[[#This Row],[文档编码]]&amp;"* "&amp;Log[[#This Row],[文档编码]]&amp;"\"&amp;Log[[#This Row],[版本]]</f>
        <v>move ** \</v>
      </c>
    </row>
    <row r="17" spans="1:10" x14ac:dyDescent="0.25">
      <c r="A17" s="6" t="str">
        <f>Log[[#This Row],[日期]]&amp;Log[[#This Row],[文档编码]]</f>
        <v/>
      </c>
      <c r="B17" s="6" t="str">
        <f>Log[[#This Row],[文档编码]]&amp;Log[[#This Row],[版本]]</f>
        <v/>
      </c>
      <c r="E17" s="2"/>
      <c r="F17" s="6" t="str">
        <f>IFERROR(VLOOKUP(Log[[#This Row],[文档编码]],List[],2,0),"")</f>
        <v/>
      </c>
      <c r="G17" s="6" t="str">
        <f>Log[[#This Row],[文档编码]]&amp;"_"&amp;Log[[#This Row],[版本]]&amp;" "&amp;Log[[#This Row],[文档标题]]</f>
        <v xml:space="preserve">_ </v>
      </c>
      <c r="H17" s="4" t="str">
        <f>HYPERLINK(List!$H$2&amp;TEXT(Log[[#This Row],[日期]],"YYYYMMDD")&amp;" "&amp;".zip")</f>
        <v>.\!log\19000100 .zip</v>
      </c>
      <c r="I17" t="str">
        <f>"md "&amp;Log[[#This Row],[文档编码]]&amp;"\"&amp;Log[[#This Row],[版本]]</f>
        <v>md \</v>
      </c>
      <c r="J17" t="str">
        <f>"move *"&amp;Log[[#This Row],[文档编码]]&amp;"* "&amp;Log[[#This Row],[文档编码]]&amp;"\"&amp;Log[[#This Row],[版本]]</f>
        <v>move ** \</v>
      </c>
    </row>
    <row r="18" spans="1:10" x14ac:dyDescent="0.25">
      <c r="A18" s="6" t="str">
        <f>Log[[#This Row],[日期]]&amp;Log[[#This Row],[文档编码]]</f>
        <v/>
      </c>
      <c r="B18" s="6" t="str">
        <f>Log[[#This Row],[文档编码]]&amp;Log[[#This Row],[版本]]</f>
        <v/>
      </c>
      <c r="E18" s="2"/>
      <c r="F18" s="6" t="str">
        <f>IFERROR(VLOOKUP(Log[[#This Row],[文档编码]],List[],2,0),"")</f>
        <v/>
      </c>
      <c r="G18" s="6" t="str">
        <f>Log[[#This Row],[文档编码]]&amp;"_"&amp;Log[[#This Row],[版本]]&amp;" "&amp;Log[[#This Row],[文档标题]]</f>
        <v xml:space="preserve">_ </v>
      </c>
      <c r="H18" s="4" t="str">
        <f>HYPERLINK(List!$H$2&amp;TEXT(Log[[#This Row],[日期]],"YYYYMMDD")&amp;" "&amp;".zip")</f>
        <v>.\!log\19000100 .zip</v>
      </c>
      <c r="I18" t="str">
        <f>"md "&amp;Log[[#This Row],[文档编码]]&amp;"\"&amp;Log[[#This Row],[版本]]</f>
        <v>md \</v>
      </c>
      <c r="J18" t="str">
        <f>"move *"&amp;Log[[#This Row],[文档编码]]&amp;"* "&amp;Log[[#This Row],[文档编码]]&amp;"\"&amp;Log[[#This Row],[版本]]</f>
        <v>move ** \</v>
      </c>
    </row>
    <row r="19" spans="1:10" x14ac:dyDescent="0.25">
      <c r="A19" s="6" t="str">
        <f>Log[[#This Row],[日期]]&amp;Log[[#This Row],[文档编码]]</f>
        <v/>
      </c>
      <c r="B19" s="6" t="str">
        <f>Log[[#This Row],[文档编码]]&amp;Log[[#This Row],[版本]]</f>
        <v/>
      </c>
      <c r="E19" s="2"/>
      <c r="F19" s="6" t="str">
        <f>IFERROR(VLOOKUP(Log[[#This Row],[文档编码]],List[],2,0),"")</f>
        <v/>
      </c>
      <c r="G19" s="6" t="str">
        <f>Log[[#This Row],[文档编码]]&amp;"_"&amp;Log[[#This Row],[版本]]&amp;" "&amp;Log[[#This Row],[文档标题]]</f>
        <v xml:space="preserve">_ </v>
      </c>
      <c r="H19" s="4" t="str">
        <f>HYPERLINK(List!$H$2&amp;TEXT(Log[[#This Row],[日期]],"YYYYMMDD")&amp;" "&amp;".zip")</f>
        <v>.\!log\19000100 .zip</v>
      </c>
      <c r="I19" t="str">
        <f>"md "&amp;Log[[#This Row],[文档编码]]&amp;"\"&amp;Log[[#This Row],[版本]]</f>
        <v>md \</v>
      </c>
      <c r="J19" t="str">
        <f>"move *"&amp;Log[[#This Row],[文档编码]]&amp;"* "&amp;Log[[#This Row],[文档编码]]&amp;"\"&amp;Log[[#This Row],[版本]]</f>
        <v>move ** \</v>
      </c>
    </row>
    <row r="20" spans="1:10" x14ac:dyDescent="0.25">
      <c r="A20" s="6" t="str">
        <f>Log[[#This Row],[日期]]&amp;Log[[#This Row],[文档编码]]</f>
        <v/>
      </c>
      <c r="B20" s="6" t="str">
        <f>Log[[#This Row],[文档编码]]&amp;Log[[#This Row],[版本]]</f>
        <v/>
      </c>
      <c r="E20" s="2"/>
      <c r="F20" s="6" t="str">
        <f>IFERROR(VLOOKUP(Log[[#This Row],[文档编码]],List[],2,0),"")</f>
        <v/>
      </c>
      <c r="G20" s="6" t="str">
        <f>Log[[#This Row],[文档编码]]&amp;"_"&amp;Log[[#This Row],[版本]]&amp;" "&amp;Log[[#This Row],[文档标题]]</f>
        <v xml:space="preserve">_ </v>
      </c>
      <c r="H20" s="4" t="str">
        <f>HYPERLINK(List!$H$2&amp;TEXT(Log[[#This Row],[日期]],"YYYYMMDD")&amp;" "&amp;".zip")</f>
        <v>.\!log\19000100 .zip</v>
      </c>
      <c r="I20" t="str">
        <f>"md "&amp;Log[[#This Row],[文档编码]]&amp;"\"&amp;Log[[#This Row],[版本]]</f>
        <v>md \</v>
      </c>
      <c r="J20" t="str">
        <f>"move *"&amp;Log[[#This Row],[文档编码]]&amp;"* "&amp;Log[[#This Row],[文档编码]]&amp;"\"&amp;Log[[#This Row],[版本]]</f>
        <v>move ** \</v>
      </c>
    </row>
    <row r="21" spans="1:10" x14ac:dyDescent="0.25">
      <c r="A21" s="6" t="str">
        <f>Log[[#This Row],[日期]]&amp;Log[[#This Row],[文档编码]]</f>
        <v/>
      </c>
      <c r="B21" s="6" t="str">
        <f>Log[[#This Row],[文档编码]]&amp;Log[[#This Row],[版本]]</f>
        <v/>
      </c>
      <c r="E21" s="2"/>
      <c r="F21" s="6" t="str">
        <f>IFERROR(VLOOKUP(Log[[#This Row],[文档编码]],List[],2,0),"")</f>
        <v/>
      </c>
      <c r="G21" s="6" t="str">
        <f>Log[[#This Row],[文档编码]]&amp;"_"&amp;Log[[#This Row],[版本]]&amp;" "&amp;Log[[#This Row],[文档标题]]</f>
        <v xml:space="preserve">_ </v>
      </c>
      <c r="H21" s="4" t="str">
        <f>HYPERLINK(List!$H$2&amp;TEXT(Log[[#This Row],[日期]],"YYYYMMDD")&amp;" "&amp;".zip")</f>
        <v>.\!log\19000100 .zip</v>
      </c>
      <c r="I21" t="str">
        <f>"md "&amp;Log[[#This Row],[文档编码]]&amp;"\"&amp;Log[[#This Row],[版本]]</f>
        <v>md \</v>
      </c>
      <c r="J21" t="str">
        <f>"move *"&amp;Log[[#This Row],[文档编码]]&amp;"* "&amp;Log[[#This Row],[文档编码]]&amp;"\"&amp;Log[[#This Row],[版本]]</f>
        <v>move ** \</v>
      </c>
    </row>
    <row r="22" spans="1:10" x14ac:dyDescent="0.25">
      <c r="A22" s="6" t="str">
        <f>Log[[#This Row],[日期]]&amp;Log[[#This Row],[文档编码]]</f>
        <v/>
      </c>
      <c r="B22" s="6" t="str">
        <f>Log[[#This Row],[文档编码]]&amp;Log[[#This Row],[版本]]</f>
        <v/>
      </c>
      <c r="E22" s="2"/>
      <c r="F22" s="6" t="str">
        <f>IFERROR(VLOOKUP(Log[[#This Row],[文档编码]],List[],2,0),"")</f>
        <v/>
      </c>
      <c r="G22" s="6" t="str">
        <f>Log[[#This Row],[文档编码]]&amp;"_"&amp;Log[[#This Row],[版本]]&amp;" "&amp;Log[[#This Row],[文档标题]]</f>
        <v xml:space="preserve">_ </v>
      </c>
      <c r="H22" s="4" t="str">
        <f>HYPERLINK(List!$H$2&amp;TEXT(Log[[#This Row],[日期]],"YYYYMMDD")&amp;" "&amp;".zip")</f>
        <v>.\!log\19000100 .zip</v>
      </c>
      <c r="I22" t="str">
        <f>"md "&amp;Log[[#This Row],[文档编码]]&amp;"\"&amp;Log[[#This Row],[版本]]</f>
        <v>md \</v>
      </c>
      <c r="J22" t="str">
        <f>"move *"&amp;Log[[#This Row],[文档编码]]&amp;"* "&amp;Log[[#This Row],[文档编码]]&amp;"\"&amp;Log[[#This Row],[版本]]</f>
        <v>move ** \</v>
      </c>
    </row>
    <row r="23" spans="1:10" x14ac:dyDescent="0.25">
      <c r="A23" s="6" t="str">
        <f>Log[[#This Row],[日期]]&amp;Log[[#This Row],[文档编码]]</f>
        <v/>
      </c>
      <c r="B23" s="6" t="str">
        <f>Log[[#This Row],[文档编码]]&amp;Log[[#This Row],[版本]]</f>
        <v/>
      </c>
      <c r="E23" s="2"/>
      <c r="F23" s="6" t="str">
        <f>IFERROR(VLOOKUP(Log[[#This Row],[文档编码]],List[],2,0),"")</f>
        <v/>
      </c>
      <c r="G23" s="6" t="str">
        <f>Log[[#This Row],[文档编码]]&amp;"_"&amp;Log[[#This Row],[版本]]&amp;" "&amp;Log[[#This Row],[文档标题]]</f>
        <v xml:space="preserve">_ </v>
      </c>
      <c r="H23" s="4" t="str">
        <f>HYPERLINK(List!$H$2&amp;TEXT(Log[[#This Row],[日期]],"YYYYMMDD")&amp;" "&amp;".zip")</f>
        <v>.\!log\19000100 .zip</v>
      </c>
      <c r="I23" t="str">
        <f>"md "&amp;Log[[#This Row],[文档编码]]&amp;"\"&amp;Log[[#This Row],[版本]]</f>
        <v>md \</v>
      </c>
      <c r="J23" t="str">
        <f>"move *"&amp;Log[[#This Row],[文档编码]]&amp;"* "&amp;Log[[#This Row],[文档编码]]&amp;"\"&amp;Log[[#This Row],[版本]]</f>
        <v>move ** \</v>
      </c>
    </row>
    <row r="24" spans="1:10" x14ac:dyDescent="0.25">
      <c r="A24" s="6" t="str">
        <f>Log[[#This Row],[日期]]&amp;Log[[#This Row],[文档编码]]</f>
        <v/>
      </c>
      <c r="B24" s="6" t="str">
        <f>Log[[#This Row],[文档编码]]&amp;Log[[#This Row],[版本]]</f>
        <v/>
      </c>
      <c r="E24" s="2"/>
      <c r="F24" s="6" t="str">
        <f>IFERROR(VLOOKUP(Log[[#This Row],[文档编码]],List[],2,0),"")</f>
        <v/>
      </c>
      <c r="G24" s="6" t="str">
        <f>Log[[#This Row],[文档编码]]&amp;"_"&amp;Log[[#This Row],[版本]]&amp;" "&amp;Log[[#This Row],[文档标题]]</f>
        <v xml:space="preserve">_ </v>
      </c>
      <c r="H24" s="4" t="str">
        <f>HYPERLINK(List!$H$2&amp;TEXT(Log[[#This Row],[日期]],"YYYYMMDD")&amp;" "&amp;".zip")</f>
        <v>.\!log\19000100 .zip</v>
      </c>
      <c r="I24" t="str">
        <f>"md "&amp;Log[[#This Row],[文档编码]]&amp;"\"&amp;Log[[#This Row],[版本]]</f>
        <v>md \</v>
      </c>
      <c r="J24" t="str">
        <f>"move *"&amp;Log[[#This Row],[文档编码]]&amp;"* "&amp;Log[[#This Row],[文档编码]]&amp;"\"&amp;Log[[#This Row],[版本]]</f>
        <v>move ** \</v>
      </c>
    </row>
    <row r="25" spans="1:10" x14ac:dyDescent="0.25">
      <c r="A25" s="6" t="str">
        <f>Log[[#This Row],[日期]]&amp;Log[[#This Row],[文档编码]]</f>
        <v/>
      </c>
      <c r="B25" s="6" t="str">
        <f>Log[[#This Row],[文档编码]]&amp;Log[[#This Row],[版本]]</f>
        <v/>
      </c>
      <c r="E25" s="2"/>
      <c r="F25" s="6" t="str">
        <f>IFERROR(VLOOKUP(Log[[#This Row],[文档编码]],List[],2,0),"")</f>
        <v/>
      </c>
      <c r="G25" s="6" t="str">
        <f>Log[[#This Row],[文档编码]]&amp;"_"&amp;Log[[#This Row],[版本]]&amp;" "&amp;Log[[#This Row],[文档标题]]</f>
        <v xml:space="preserve">_ </v>
      </c>
      <c r="H25" s="4" t="str">
        <f>HYPERLINK(List!$H$2&amp;TEXT(Log[[#This Row],[日期]],"YYYYMMDD")&amp;" "&amp;".zip")</f>
        <v>.\!log\19000100 .zip</v>
      </c>
      <c r="I25" t="str">
        <f>"md "&amp;Log[[#This Row],[文档编码]]&amp;"\"&amp;Log[[#This Row],[版本]]</f>
        <v>md \</v>
      </c>
      <c r="J25" t="str">
        <f>"move *"&amp;Log[[#This Row],[文档编码]]&amp;"* "&amp;Log[[#This Row],[文档编码]]&amp;"\"&amp;Log[[#This Row],[版本]]</f>
        <v>move ** \</v>
      </c>
    </row>
  </sheetData>
  <phoneticPr fontId="1" type="noConversion"/>
  <conditionalFormatting sqref="B2:B25">
    <cfRule type="duplicateValues" dxfId="10" priority="10"/>
  </conditionalFormatting>
  <conditionalFormatting sqref="A2:A25">
    <cfRule type="duplicateValues" dxfId="9" priority="1"/>
  </conditionalFormatting>
  <pageMargins left="0.7" right="0.7" top="0.75" bottom="0.75" header="0.3" footer="0.3"/>
  <pageSetup paperSize="9" orientation="portrait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</vt:lpstr>
      <vt:lpstr>Log</vt:lpstr>
      <vt:lpstr>DocList</vt:lpstr>
      <vt:lpstr>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2026-05-10T00:31:59Z</dcterms:modified>
</cp:coreProperties>
</file>